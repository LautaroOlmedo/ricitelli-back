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ngho\Desktop\"/>
    </mc:Choice>
  </mc:AlternateContent>
  <bookViews>
    <workbookView xWindow="0" yWindow="0" windowWidth="29010" windowHeight="120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0" i="1" l="1"/>
  <c r="I63" i="1"/>
  <c r="H59" i="1"/>
  <c r="I59" i="1" s="1"/>
  <c r="I21" i="1"/>
  <c r="H18" i="1"/>
  <c r="I18" i="1" s="1"/>
  <c r="I16" i="1"/>
  <c r="I12" i="1"/>
  <c r="I11" i="1"/>
</calcChain>
</file>

<file path=xl/sharedStrings.xml><?xml version="1.0" encoding="utf-8"?>
<sst xmlns="http://schemas.openxmlformats.org/spreadsheetml/2006/main" count="1039" uniqueCount="214">
  <si>
    <t>Depósito</t>
  </si>
  <si>
    <t>Stock - Depósito - Cód.</t>
  </si>
  <si>
    <t>Artículo - Ord. 1</t>
  </si>
  <si>
    <t>Artículo - Ord. 2</t>
  </si>
  <si>
    <t>Artículo - Desc. Gen.</t>
  </si>
  <si>
    <t>Artículo - Elem. 1</t>
  </si>
  <si>
    <t>Artículo - Elem. 2</t>
  </si>
  <si>
    <t>Stock - Cant. Real en UM 1</t>
  </si>
  <si>
    <t>Stock - Cant. Real en UM 2</t>
  </si>
  <si>
    <t>Frigorifico</t>
  </si>
  <si>
    <t>PT</t>
  </si>
  <si>
    <t>Blanco de la Casa</t>
  </si>
  <si>
    <t>Blend</t>
  </si>
  <si>
    <t>Blanco de la Casa, Blend SV</t>
  </si>
  <si>
    <t>2020</t>
  </si>
  <si>
    <t>Bot 1500cc</t>
  </si>
  <si>
    <t>L-021020-11-11</t>
  </si>
  <si>
    <t>2021</t>
  </si>
  <si>
    <t>L-240921-17-11</t>
  </si>
  <si>
    <t>2023</t>
  </si>
  <si>
    <t>L-220823-11-11</t>
  </si>
  <si>
    <t>2024</t>
  </si>
  <si>
    <t>Bot 750cc</t>
  </si>
  <si>
    <t>L-081124-38-11</t>
  </si>
  <si>
    <t>Hey !</t>
  </si>
  <si>
    <t>Malbec</t>
  </si>
  <si>
    <t>Hey Malbec! Malbec SV</t>
  </si>
  <si>
    <t>2019</t>
  </si>
  <si>
    <t>L-300920-18-21</t>
  </si>
  <si>
    <t>L-150921-5-21</t>
  </si>
  <si>
    <t>2022</t>
  </si>
  <si>
    <t>L-220223-1-21</t>
  </si>
  <si>
    <t>L-040825-5-21</t>
  </si>
  <si>
    <t>Rose</t>
  </si>
  <si>
    <t>Hey Rose! SV</t>
  </si>
  <si>
    <t>030624-12-22</t>
  </si>
  <si>
    <t>2025</t>
  </si>
  <si>
    <t>L-210825-82/83-22</t>
  </si>
  <si>
    <t>L-110825-1-22</t>
  </si>
  <si>
    <t>Invader</t>
  </si>
  <si>
    <t>Chenin</t>
  </si>
  <si>
    <t>Riccitelli Invader, Chenin Blanc SV</t>
  </si>
  <si>
    <t>L-280225-24-51</t>
  </si>
  <si>
    <t>Garnacha</t>
  </si>
  <si>
    <t>Riccitelli Invader, Garnacha SV</t>
  </si>
  <si>
    <t>L-180924-39-51</t>
  </si>
  <si>
    <t>Semillón</t>
  </si>
  <si>
    <t>Riccitelli Invader, Semillon SV</t>
  </si>
  <si>
    <t>L-111124-39-49</t>
  </si>
  <si>
    <t>L-260825-80/81-49</t>
  </si>
  <si>
    <t>Kung Fu</t>
  </si>
  <si>
    <t>Criolla</t>
  </si>
  <si>
    <t>Kung Fu, Criolla Sin Vestir</t>
  </si>
  <si>
    <t>L-170924-38-41</t>
  </si>
  <si>
    <t>L-270825-80-41</t>
  </si>
  <si>
    <t>Kung Fu, Malbec Sin Vestir</t>
  </si>
  <si>
    <t>L-070525-35-39</t>
  </si>
  <si>
    <t>Orange</t>
  </si>
  <si>
    <t>Kung Fu, Orange Sin Vestir</t>
  </si>
  <si>
    <t>L-130924-80/81-38</t>
  </si>
  <si>
    <t>L-270625-H1-38</t>
  </si>
  <si>
    <t>Pet Nat</t>
  </si>
  <si>
    <t>Kung Fu, Pet Nat Sin Vestir</t>
  </si>
  <si>
    <t>L-240923-02-36</t>
  </si>
  <si>
    <t>FRAC 2/3/24</t>
  </si>
  <si>
    <t>L-212225-3-36</t>
  </si>
  <si>
    <t>Old Vines From Patagonia</t>
  </si>
  <si>
    <t>Bastardo</t>
  </si>
  <si>
    <t>Old Vines From Patagonia, Bastardo SV</t>
  </si>
  <si>
    <t>L-081121-22-29</t>
  </si>
  <si>
    <t>L-021023-7-29</t>
  </si>
  <si>
    <t>L-130525-80/81-29</t>
  </si>
  <si>
    <t>L-130525-80-29</t>
  </si>
  <si>
    <t>Merlot</t>
  </si>
  <si>
    <t>Old Vines From Patagonia, Merlot SV</t>
  </si>
  <si>
    <t>L-240723-06-05</t>
  </si>
  <si>
    <t>Pinot Noir</t>
  </si>
  <si>
    <t>Old Vines From Patagonia, Pinot Noir SV</t>
  </si>
  <si>
    <t>L-011020-22-40</t>
  </si>
  <si>
    <t>L-290923-20-44</t>
  </si>
  <si>
    <t>L-120525-82/83-44</t>
  </si>
  <si>
    <t>L-120525-83-44</t>
  </si>
  <si>
    <t>Riesling</t>
  </si>
  <si>
    <t>Old Vines From Patagonia, Riesling SV</t>
  </si>
  <si>
    <t>L-060224-26-40</t>
  </si>
  <si>
    <t>Old Vines From Patagonia, Rose SV</t>
  </si>
  <si>
    <t>L-220125-80/81</t>
  </si>
  <si>
    <t>Old Vines From Patagonia, Semillon SV</t>
  </si>
  <si>
    <t>L-120919-10-06</t>
  </si>
  <si>
    <t>L-230920-68-06</t>
  </si>
  <si>
    <t>L-101121-11-06</t>
  </si>
  <si>
    <t>L-250823-10-6</t>
  </si>
  <si>
    <t>L-201124-82/83-6</t>
  </si>
  <si>
    <t>Torrontes</t>
  </si>
  <si>
    <t>Old Vines From Patagonia, Torrontes SV</t>
  </si>
  <si>
    <t>L-240823-24-32</t>
  </si>
  <si>
    <t>L-131124-40-32</t>
  </si>
  <si>
    <t>Republica del Malbec</t>
  </si>
  <si>
    <t>Republica del Malbec SV</t>
  </si>
  <si>
    <t>L-070622-13-07</t>
  </si>
  <si>
    <t>L-060723-10-02</t>
  </si>
  <si>
    <t>Riccitelii Rancio</t>
  </si>
  <si>
    <t>Rancio Non Vintage</t>
  </si>
  <si>
    <t>Riccitelli Rancio SV</t>
  </si>
  <si>
    <t>NV</t>
  </si>
  <si>
    <t>L-RANCIO</t>
  </si>
  <si>
    <t>Riccitelli and Father</t>
  </si>
  <si>
    <t>Malbec Cabernet Franc</t>
  </si>
  <si>
    <t>Riccitelli and Father, Malbec Cab Franc SV</t>
  </si>
  <si>
    <t>L-060723-10-01</t>
  </si>
  <si>
    <t>Riccitelli Gualtallary</t>
  </si>
  <si>
    <t>Cabernet Franc</t>
  </si>
  <si>
    <t>Riccitelli Gualtallary, Cabernet Franc SV</t>
  </si>
  <si>
    <t>L-020525-38/39-43</t>
  </si>
  <si>
    <t>Chardonnay</t>
  </si>
  <si>
    <t>Riccitelli Gualtallary, Chardonnay SV</t>
  </si>
  <si>
    <t>L-120724-80/81-33</t>
  </si>
  <si>
    <t>Riccitelli Gualtallary, Malbec SV</t>
  </si>
  <si>
    <t>L-060525-4-31</t>
  </si>
  <si>
    <t>Ricicitelli Vino de Finca</t>
  </si>
  <si>
    <t>Bonarda</t>
  </si>
  <si>
    <t>Riccitelli Vino de Finca, Bonarda SV</t>
  </si>
  <si>
    <t>2016</t>
  </si>
  <si>
    <t>L-180618-5-26</t>
  </si>
  <si>
    <t>Riccitelli Vino de Finca, Malbec SV</t>
  </si>
  <si>
    <t>L-091121-69-25</t>
  </si>
  <si>
    <t>Malbec San Pablo</t>
  </si>
  <si>
    <t>Riccitelli Vino de Finca, Malbec San Pablo SV</t>
  </si>
  <si>
    <t>L-101123-7-47</t>
  </si>
  <si>
    <t>Sauvignon Blanc</t>
  </si>
  <si>
    <t>Riccitelli Vino de Finca Sauvignon Blanca SV</t>
  </si>
  <si>
    <t>L-111121-20-28</t>
  </si>
  <si>
    <t>L-131124-81-28</t>
  </si>
  <si>
    <t>L-260825-83-28</t>
  </si>
  <si>
    <t>The Apple</t>
  </si>
  <si>
    <t>Cabernet Sauvignon</t>
  </si>
  <si>
    <t>The apple doesn´t fall..Cabernet SV</t>
  </si>
  <si>
    <t>L-220125-81/82/83-13</t>
  </si>
  <si>
    <t>The apple doesn´t fall..Malbec SV</t>
  </si>
  <si>
    <t>L-230125-14-12</t>
  </si>
  <si>
    <t>The apple doesn´t fall.. Torrones SV</t>
  </si>
  <si>
    <t>L-200125-15-16</t>
  </si>
  <si>
    <t>L-280725-12-16</t>
  </si>
  <si>
    <t>The Party</t>
  </si>
  <si>
    <t>The Party, Malbec SV</t>
  </si>
  <si>
    <t>L-030225-02-24</t>
  </si>
  <si>
    <t>This is not</t>
  </si>
  <si>
    <t>This is not...Malbec SV</t>
  </si>
  <si>
    <t>L-281024-19-34</t>
  </si>
  <si>
    <t>L-130825-5-34</t>
  </si>
  <si>
    <t>L-230625-16-34</t>
  </si>
  <si>
    <t>Tinto de la Casa</t>
  </si>
  <si>
    <t>Tinto de la Casa, Malbec SV</t>
  </si>
  <si>
    <t>L-230924-14-10</t>
  </si>
  <si>
    <t>V.I.N.O.</t>
  </si>
  <si>
    <t>Clarete</t>
  </si>
  <si>
    <t>V.I.N.O. Clarete, SV</t>
  </si>
  <si>
    <t>L-160924-35-45</t>
  </si>
  <si>
    <t>L-270825-81-45</t>
  </si>
  <si>
    <t>Viejos Viñedos Pie Franco</t>
  </si>
  <si>
    <t>Viejos Viñedos Pie Franco, Cab Franc SV</t>
  </si>
  <si>
    <t>L-020525-39-8</t>
  </si>
  <si>
    <t>Viejos Viñedos Pie Franco, Malbec SV</t>
  </si>
  <si>
    <t>L-240723-06-07</t>
  </si>
  <si>
    <t>L-270723-06-07</t>
  </si>
  <si>
    <t>Sangiovese</t>
  </si>
  <si>
    <t>Viejos Viñedos Pie Franco, Sangiovese SV</t>
  </si>
  <si>
    <t>L-290124-05-48</t>
  </si>
  <si>
    <t>L-120625-69-48</t>
  </si>
  <si>
    <t>Viejos Viñedos Pie Franco, Semillón SV</t>
  </si>
  <si>
    <t>L-211124-80/81-50</t>
  </si>
  <si>
    <t>Aceite de Oliva</t>
  </si>
  <si>
    <t>Arauco</t>
  </si>
  <si>
    <t>Aceite de Oliva, Arauco</t>
  </si>
  <si>
    <t>Bot 500cc</t>
  </si>
  <si>
    <t>Novello</t>
  </si>
  <si>
    <t>Aceite de Oliva, Novello SV</t>
  </si>
  <si>
    <t>Blanco de la Casa, Blend</t>
  </si>
  <si>
    <t>Caja x 6</t>
  </si>
  <si>
    <t>Hey Malbec! Malbec</t>
  </si>
  <si>
    <t>Caja x12</t>
  </si>
  <si>
    <t>Hey Rose!</t>
  </si>
  <si>
    <t>Riccitelli Invader, Chenin Blanc</t>
  </si>
  <si>
    <t>Riccitelli Invader, Semillon</t>
  </si>
  <si>
    <t>Kung Fu, Criolla</t>
  </si>
  <si>
    <t>Kung Fu, Malbec</t>
  </si>
  <si>
    <t>Kung Fu, Orange</t>
  </si>
  <si>
    <t>Kung Fu, Pet Nat</t>
  </si>
  <si>
    <t>Old Vines From Patagonia, Bastardo</t>
  </si>
  <si>
    <t>Old Vines From Patagonia, Malbec</t>
  </si>
  <si>
    <t>Old Vines From Patagonia Merlot</t>
  </si>
  <si>
    <t>Old Vines From Patagonia, Pinot Noir</t>
  </si>
  <si>
    <t>Old Vines From Patagonia Riesling</t>
  </si>
  <si>
    <t>Old Vines From Patagonia Rose</t>
  </si>
  <si>
    <t>Old Vines From Patagonia Semillón</t>
  </si>
  <si>
    <t>Old Vines From Patagonia, Torrontes</t>
  </si>
  <si>
    <t>República del Malbec, Malbec</t>
  </si>
  <si>
    <t>Riccitelli and Father, Malbec Cab Franc</t>
  </si>
  <si>
    <t>Riccitelli Gualtallary, Cabernet Franc</t>
  </si>
  <si>
    <t>Riccitelli Gualtallary, Malbec</t>
  </si>
  <si>
    <t>Riccitelli Vino de Finca, Malbec</t>
  </si>
  <si>
    <t>Riccitelli Vino de Finca, Malbec San Pablo</t>
  </si>
  <si>
    <t>Riccitelli Vino de Finca, Sauvignon Blanc</t>
  </si>
  <si>
    <t>The apple doesn´t fall.., Cabernet</t>
  </si>
  <si>
    <t>The apple doesn´t fall.., Malbec</t>
  </si>
  <si>
    <t>The apple doesn´t fall.., Torrontes</t>
  </si>
  <si>
    <t>The Party, Malbec</t>
  </si>
  <si>
    <t>This is not...Malbec</t>
  </si>
  <si>
    <t>This is not...Torrontes</t>
  </si>
  <si>
    <t>Tinto de la Casa, Malbec</t>
  </si>
  <si>
    <t>V.I.N.O Clarete</t>
  </si>
  <si>
    <t>Viejos Viñedos Pie Franco Malbec</t>
  </si>
  <si>
    <t>Viejos Viñedos Pie Franco Sangiovese</t>
  </si>
  <si>
    <t>Viejos Viñedos Pie Franco Semillón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</si>
</sst>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1" xfId="0" applyNumberFormat="1" applyFont="1" applyFill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0" fontId="0" fillId="0" borderId="0" xfId="0" applyBorder="1"/>
    <xf numFmtId="2" fontId="0" fillId="0" borderId="0" xfId="0" applyNumberFormat="1" applyBorder="1"/>
    <xf numFmtId="49" fontId="0" fillId="0" borderId="0" xfId="0" applyNumberFormat="1"/>
    <xf numFmtId="164" fontId="0" fillId="0" borderId="0" xfId="0" applyNumberFormat="1"/>
    <xf numFmtId="164" fontId="0" fillId="0" borderId="0" xfId="0" applyNumberFormat="1" applyBorder="1"/>
    <xf numFmtId="165" fontId="0" fillId="0" borderId="0" xfId="0" applyNumberFormat="1" applyBorder="1"/>
    <xf numFmtId="0" fontId="0" fillId="2" borderId="0" xfId="0" applyFill="1" applyBorder="1"/>
    <xf numFmtId="164" fontId="1" fillId="0" borderId="0" xfId="0" applyNumberFormat="1" applyFont="1" applyBorder="1"/>
    <xf numFmtId="0" fontId="0" fillId="0" borderId="0" xfId="0" applyFill="1" applyBorder="1"/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137"/>
  <sheetViews>
    <sheetView tabSelected="1" topLeftCell="A43" workbookViewId="0">
      <selection activeCell="H58" sqref="H58"/>
    </sheetView>
  </sheetViews>
  <sheetFormatPr baseColWidth="10" defaultRowHeight="15" x14ac:dyDescent="0.25"/>
  <cols>
    <col min="1" max="1" width="10.5703125" style="4" customWidth="1"/>
    <col min="2" max="2" width="7.7109375" style="4" customWidth="1"/>
    <col min="3" max="3" width="25.140625" style="4" bestFit="1" customWidth="1"/>
    <col min="4" max="4" width="34.140625" style="4" customWidth="1"/>
    <col min="5" max="5" width="44.7109375" style="4" bestFit="1" customWidth="1"/>
    <col min="6" max="6" width="14" style="13" customWidth="1"/>
    <col min="7" max="7" width="16.140625" style="13" customWidth="1"/>
    <col min="8" max="8" width="26.5703125" style="4" bestFit="1" customWidth="1"/>
    <col min="9" max="9" width="24.5703125" style="4" customWidth="1"/>
    <col min="10" max="10" width="15" style="4" customWidth="1"/>
    <col min="11" max="12" width="11.42578125" style="4"/>
    <col min="13" max="14" width="11.42578125" style="5"/>
    <col min="15" max="256" width="11.42578125" style="4"/>
    <col min="257" max="257" width="10.5703125" style="4" customWidth="1"/>
    <col min="258" max="258" width="7.7109375" style="4" customWidth="1"/>
    <col min="259" max="259" width="25.140625" style="4" bestFit="1" customWidth="1"/>
    <col min="260" max="260" width="34.140625" style="4" customWidth="1"/>
    <col min="261" max="261" width="44.7109375" style="4" bestFit="1" customWidth="1"/>
    <col min="262" max="262" width="14" style="4" customWidth="1"/>
    <col min="263" max="263" width="16.140625" style="4" customWidth="1"/>
    <col min="264" max="264" width="26.5703125" style="4" bestFit="1" customWidth="1"/>
    <col min="265" max="265" width="24.5703125" style="4" customWidth="1"/>
    <col min="266" max="266" width="15" style="4" customWidth="1"/>
    <col min="267" max="512" width="11.42578125" style="4"/>
    <col min="513" max="513" width="10.5703125" style="4" customWidth="1"/>
    <col min="514" max="514" width="7.7109375" style="4" customWidth="1"/>
    <col min="515" max="515" width="25.140625" style="4" bestFit="1" customWidth="1"/>
    <col min="516" max="516" width="34.140625" style="4" customWidth="1"/>
    <col min="517" max="517" width="44.7109375" style="4" bestFit="1" customWidth="1"/>
    <col min="518" max="518" width="14" style="4" customWidth="1"/>
    <col min="519" max="519" width="16.140625" style="4" customWidth="1"/>
    <col min="520" max="520" width="26.5703125" style="4" bestFit="1" customWidth="1"/>
    <col min="521" max="521" width="24.5703125" style="4" customWidth="1"/>
    <col min="522" max="522" width="15" style="4" customWidth="1"/>
    <col min="523" max="768" width="11.42578125" style="4"/>
    <col min="769" max="769" width="10.5703125" style="4" customWidth="1"/>
    <col min="770" max="770" width="7.7109375" style="4" customWidth="1"/>
    <col min="771" max="771" width="25.140625" style="4" bestFit="1" customWidth="1"/>
    <col min="772" max="772" width="34.140625" style="4" customWidth="1"/>
    <col min="773" max="773" width="44.7109375" style="4" bestFit="1" customWidth="1"/>
    <col min="774" max="774" width="14" style="4" customWidth="1"/>
    <col min="775" max="775" width="16.140625" style="4" customWidth="1"/>
    <col min="776" max="776" width="26.5703125" style="4" bestFit="1" customWidth="1"/>
    <col min="777" max="777" width="24.5703125" style="4" customWidth="1"/>
    <col min="778" max="778" width="15" style="4" customWidth="1"/>
    <col min="779" max="1024" width="11.42578125" style="4"/>
    <col min="1025" max="1025" width="10.5703125" style="4" customWidth="1"/>
    <col min="1026" max="1026" width="7.7109375" style="4" customWidth="1"/>
    <col min="1027" max="1027" width="25.140625" style="4" bestFit="1" customWidth="1"/>
    <col min="1028" max="1028" width="34.140625" style="4" customWidth="1"/>
    <col min="1029" max="1029" width="44.7109375" style="4" bestFit="1" customWidth="1"/>
    <col min="1030" max="1030" width="14" style="4" customWidth="1"/>
    <col min="1031" max="1031" width="16.140625" style="4" customWidth="1"/>
    <col min="1032" max="1032" width="26.5703125" style="4" bestFit="1" customWidth="1"/>
    <col min="1033" max="1033" width="24.5703125" style="4" customWidth="1"/>
    <col min="1034" max="1034" width="15" style="4" customWidth="1"/>
    <col min="1035" max="1280" width="11.42578125" style="4"/>
    <col min="1281" max="1281" width="10.5703125" style="4" customWidth="1"/>
    <col min="1282" max="1282" width="7.7109375" style="4" customWidth="1"/>
    <col min="1283" max="1283" width="25.140625" style="4" bestFit="1" customWidth="1"/>
    <col min="1284" max="1284" width="34.140625" style="4" customWidth="1"/>
    <col min="1285" max="1285" width="44.7109375" style="4" bestFit="1" customWidth="1"/>
    <col min="1286" max="1286" width="14" style="4" customWidth="1"/>
    <col min="1287" max="1287" width="16.140625" style="4" customWidth="1"/>
    <col min="1288" max="1288" width="26.5703125" style="4" bestFit="1" customWidth="1"/>
    <col min="1289" max="1289" width="24.5703125" style="4" customWidth="1"/>
    <col min="1290" max="1290" width="15" style="4" customWidth="1"/>
    <col min="1291" max="1536" width="11.42578125" style="4"/>
    <col min="1537" max="1537" width="10.5703125" style="4" customWidth="1"/>
    <col min="1538" max="1538" width="7.7109375" style="4" customWidth="1"/>
    <col min="1539" max="1539" width="25.140625" style="4" bestFit="1" customWidth="1"/>
    <col min="1540" max="1540" width="34.140625" style="4" customWidth="1"/>
    <col min="1541" max="1541" width="44.7109375" style="4" bestFit="1" customWidth="1"/>
    <col min="1542" max="1542" width="14" style="4" customWidth="1"/>
    <col min="1543" max="1543" width="16.140625" style="4" customWidth="1"/>
    <col min="1544" max="1544" width="26.5703125" style="4" bestFit="1" customWidth="1"/>
    <col min="1545" max="1545" width="24.5703125" style="4" customWidth="1"/>
    <col min="1546" max="1546" width="15" style="4" customWidth="1"/>
    <col min="1547" max="1792" width="11.42578125" style="4"/>
    <col min="1793" max="1793" width="10.5703125" style="4" customWidth="1"/>
    <col min="1794" max="1794" width="7.7109375" style="4" customWidth="1"/>
    <col min="1795" max="1795" width="25.140625" style="4" bestFit="1" customWidth="1"/>
    <col min="1796" max="1796" width="34.140625" style="4" customWidth="1"/>
    <col min="1797" max="1797" width="44.7109375" style="4" bestFit="1" customWidth="1"/>
    <col min="1798" max="1798" width="14" style="4" customWidth="1"/>
    <col min="1799" max="1799" width="16.140625" style="4" customWidth="1"/>
    <col min="1800" max="1800" width="26.5703125" style="4" bestFit="1" customWidth="1"/>
    <col min="1801" max="1801" width="24.5703125" style="4" customWidth="1"/>
    <col min="1802" max="1802" width="15" style="4" customWidth="1"/>
    <col min="1803" max="2048" width="11.42578125" style="4"/>
    <col min="2049" max="2049" width="10.5703125" style="4" customWidth="1"/>
    <col min="2050" max="2050" width="7.7109375" style="4" customWidth="1"/>
    <col min="2051" max="2051" width="25.140625" style="4" bestFit="1" customWidth="1"/>
    <col min="2052" max="2052" width="34.140625" style="4" customWidth="1"/>
    <col min="2053" max="2053" width="44.7109375" style="4" bestFit="1" customWidth="1"/>
    <col min="2054" max="2054" width="14" style="4" customWidth="1"/>
    <col min="2055" max="2055" width="16.140625" style="4" customWidth="1"/>
    <col min="2056" max="2056" width="26.5703125" style="4" bestFit="1" customWidth="1"/>
    <col min="2057" max="2057" width="24.5703125" style="4" customWidth="1"/>
    <col min="2058" max="2058" width="15" style="4" customWidth="1"/>
    <col min="2059" max="2304" width="11.42578125" style="4"/>
    <col min="2305" max="2305" width="10.5703125" style="4" customWidth="1"/>
    <col min="2306" max="2306" width="7.7109375" style="4" customWidth="1"/>
    <col min="2307" max="2307" width="25.140625" style="4" bestFit="1" customWidth="1"/>
    <col min="2308" max="2308" width="34.140625" style="4" customWidth="1"/>
    <col min="2309" max="2309" width="44.7109375" style="4" bestFit="1" customWidth="1"/>
    <col min="2310" max="2310" width="14" style="4" customWidth="1"/>
    <col min="2311" max="2311" width="16.140625" style="4" customWidth="1"/>
    <col min="2312" max="2312" width="26.5703125" style="4" bestFit="1" customWidth="1"/>
    <col min="2313" max="2313" width="24.5703125" style="4" customWidth="1"/>
    <col min="2314" max="2314" width="15" style="4" customWidth="1"/>
    <col min="2315" max="2560" width="11.42578125" style="4"/>
    <col min="2561" max="2561" width="10.5703125" style="4" customWidth="1"/>
    <col min="2562" max="2562" width="7.7109375" style="4" customWidth="1"/>
    <col min="2563" max="2563" width="25.140625" style="4" bestFit="1" customWidth="1"/>
    <col min="2564" max="2564" width="34.140625" style="4" customWidth="1"/>
    <col min="2565" max="2565" width="44.7109375" style="4" bestFit="1" customWidth="1"/>
    <col min="2566" max="2566" width="14" style="4" customWidth="1"/>
    <col min="2567" max="2567" width="16.140625" style="4" customWidth="1"/>
    <col min="2568" max="2568" width="26.5703125" style="4" bestFit="1" customWidth="1"/>
    <col min="2569" max="2569" width="24.5703125" style="4" customWidth="1"/>
    <col min="2570" max="2570" width="15" style="4" customWidth="1"/>
    <col min="2571" max="2816" width="11.42578125" style="4"/>
    <col min="2817" max="2817" width="10.5703125" style="4" customWidth="1"/>
    <col min="2818" max="2818" width="7.7109375" style="4" customWidth="1"/>
    <col min="2819" max="2819" width="25.140625" style="4" bestFit="1" customWidth="1"/>
    <col min="2820" max="2820" width="34.140625" style="4" customWidth="1"/>
    <col min="2821" max="2821" width="44.7109375" style="4" bestFit="1" customWidth="1"/>
    <col min="2822" max="2822" width="14" style="4" customWidth="1"/>
    <col min="2823" max="2823" width="16.140625" style="4" customWidth="1"/>
    <col min="2824" max="2824" width="26.5703125" style="4" bestFit="1" customWidth="1"/>
    <col min="2825" max="2825" width="24.5703125" style="4" customWidth="1"/>
    <col min="2826" max="2826" width="15" style="4" customWidth="1"/>
    <col min="2827" max="3072" width="11.42578125" style="4"/>
    <col min="3073" max="3073" width="10.5703125" style="4" customWidth="1"/>
    <col min="3074" max="3074" width="7.7109375" style="4" customWidth="1"/>
    <col min="3075" max="3075" width="25.140625" style="4" bestFit="1" customWidth="1"/>
    <col min="3076" max="3076" width="34.140625" style="4" customWidth="1"/>
    <col min="3077" max="3077" width="44.7109375" style="4" bestFit="1" customWidth="1"/>
    <col min="3078" max="3078" width="14" style="4" customWidth="1"/>
    <col min="3079" max="3079" width="16.140625" style="4" customWidth="1"/>
    <col min="3080" max="3080" width="26.5703125" style="4" bestFit="1" customWidth="1"/>
    <col min="3081" max="3081" width="24.5703125" style="4" customWidth="1"/>
    <col min="3082" max="3082" width="15" style="4" customWidth="1"/>
    <col min="3083" max="3328" width="11.42578125" style="4"/>
    <col min="3329" max="3329" width="10.5703125" style="4" customWidth="1"/>
    <col min="3330" max="3330" width="7.7109375" style="4" customWidth="1"/>
    <col min="3331" max="3331" width="25.140625" style="4" bestFit="1" customWidth="1"/>
    <col min="3332" max="3332" width="34.140625" style="4" customWidth="1"/>
    <col min="3333" max="3333" width="44.7109375" style="4" bestFit="1" customWidth="1"/>
    <col min="3334" max="3334" width="14" style="4" customWidth="1"/>
    <col min="3335" max="3335" width="16.140625" style="4" customWidth="1"/>
    <col min="3336" max="3336" width="26.5703125" style="4" bestFit="1" customWidth="1"/>
    <col min="3337" max="3337" width="24.5703125" style="4" customWidth="1"/>
    <col min="3338" max="3338" width="15" style="4" customWidth="1"/>
    <col min="3339" max="3584" width="11.42578125" style="4"/>
    <col min="3585" max="3585" width="10.5703125" style="4" customWidth="1"/>
    <col min="3586" max="3586" width="7.7109375" style="4" customWidth="1"/>
    <col min="3587" max="3587" width="25.140625" style="4" bestFit="1" customWidth="1"/>
    <col min="3588" max="3588" width="34.140625" style="4" customWidth="1"/>
    <col min="3589" max="3589" width="44.7109375" style="4" bestFit="1" customWidth="1"/>
    <col min="3590" max="3590" width="14" style="4" customWidth="1"/>
    <col min="3591" max="3591" width="16.140625" style="4" customWidth="1"/>
    <col min="3592" max="3592" width="26.5703125" style="4" bestFit="1" customWidth="1"/>
    <col min="3593" max="3593" width="24.5703125" style="4" customWidth="1"/>
    <col min="3594" max="3594" width="15" style="4" customWidth="1"/>
    <col min="3595" max="3840" width="11.42578125" style="4"/>
    <col min="3841" max="3841" width="10.5703125" style="4" customWidth="1"/>
    <col min="3842" max="3842" width="7.7109375" style="4" customWidth="1"/>
    <col min="3843" max="3843" width="25.140625" style="4" bestFit="1" customWidth="1"/>
    <col min="3844" max="3844" width="34.140625" style="4" customWidth="1"/>
    <col min="3845" max="3845" width="44.7109375" style="4" bestFit="1" customWidth="1"/>
    <col min="3846" max="3846" width="14" style="4" customWidth="1"/>
    <col min="3847" max="3847" width="16.140625" style="4" customWidth="1"/>
    <col min="3848" max="3848" width="26.5703125" style="4" bestFit="1" customWidth="1"/>
    <col min="3849" max="3849" width="24.5703125" style="4" customWidth="1"/>
    <col min="3850" max="3850" width="15" style="4" customWidth="1"/>
    <col min="3851" max="4096" width="11.42578125" style="4"/>
    <col min="4097" max="4097" width="10.5703125" style="4" customWidth="1"/>
    <col min="4098" max="4098" width="7.7109375" style="4" customWidth="1"/>
    <col min="4099" max="4099" width="25.140625" style="4" bestFit="1" customWidth="1"/>
    <col min="4100" max="4100" width="34.140625" style="4" customWidth="1"/>
    <col min="4101" max="4101" width="44.7109375" style="4" bestFit="1" customWidth="1"/>
    <col min="4102" max="4102" width="14" style="4" customWidth="1"/>
    <col min="4103" max="4103" width="16.140625" style="4" customWidth="1"/>
    <col min="4104" max="4104" width="26.5703125" style="4" bestFit="1" customWidth="1"/>
    <col min="4105" max="4105" width="24.5703125" style="4" customWidth="1"/>
    <col min="4106" max="4106" width="15" style="4" customWidth="1"/>
    <col min="4107" max="4352" width="11.42578125" style="4"/>
    <col min="4353" max="4353" width="10.5703125" style="4" customWidth="1"/>
    <col min="4354" max="4354" width="7.7109375" style="4" customWidth="1"/>
    <col min="4355" max="4355" width="25.140625" style="4" bestFit="1" customWidth="1"/>
    <col min="4356" max="4356" width="34.140625" style="4" customWidth="1"/>
    <col min="4357" max="4357" width="44.7109375" style="4" bestFit="1" customWidth="1"/>
    <col min="4358" max="4358" width="14" style="4" customWidth="1"/>
    <col min="4359" max="4359" width="16.140625" style="4" customWidth="1"/>
    <col min="4360" max="4360" width="26.5703125" style="4" bestFit="1" customWidth="1"/>
    <col min="4361" max="4361" width="24.5703125" style="4" customWidth="1"/>
    <col min="4362" max="4362" width="15" style="4" customWidth="1"/>
    <col min="4363" max="4608" width="11.42578125" style="4"/>
    <col min="4609" max="4609" width="10.5703125" style="4" customWidth="1"/>
    <col min="4610" max="4610" width="7.7109375" style="4" customWidth="1"/>
    <col min="4611" max="4611" width="25.140625" style="4" bestFit="1" customWidth="1"/>
    <col min="4612" max="4612" width="34.140625" style="4" customWidth="1"/>
    <col min="4613" max="4613" width="44.7109375" style="4" bestFit="1" customWidth="1"/>
    <col min="4614" max="4614" width="14" style="4" customWidth="1"/>
    <col min="4615" max="4615" width="16.140625" style="4" customWidth="1"/>
    <col min="4616" max="4616" width="26.5703125" style="4" bestFit="1" customWidth="1"/>
    <col min="4617" max="4617" width="24.5703125" style="4" customWidth="1"/>
    <col min="4618" max="4618" width="15" style="4" customWidth="1"/>
    <col min="4619" max="4864" width="11.42578125" style="4"/>
    <col min="4865" max="4865" width="10.5703125" style="4" customWidth="1"/>
    <col min="4866" max="4866" width="7.7109375" style="4" customWidth="1"/>
    <col min="4867" max="4867" width="25.140625" style="4" bestFit="1" customWidth="1"/>
    <col min="4868" max="4868" width="34.140625" style="4" customWidth="1"/>
    <col min="4869" max="4869" width="44.7109375" style="4" bestFit="1" customWidth="1"/>
    <col min="4870" max="4870" width="14" style="4" customWidth="1"/>
    <col min="4871" max="4871" width="16.140625" style="4" customWidth="1"/>
    <col min="4872" max="4872" width="26.5703125" style="4" bestFit="1" customWidth="1"/>
    <col min="4873" max="4873" width="24.5703125" style="4" customWidth="1"/>
    <col min="4874" max="4874" width="15" style="4" customWidth="1"/>
    <col min="4875" max="5120" width="11.42578125" style="4"/>
    <col min="5121" max="5121" width="10.5703125" style="4" customWidth="1"/>
    <col min="5122" max="5122" width="7.7109375" style="4" customWidth="1"/>
    <col min="5123" max="5123" width="25.140625" style="4" bestFit="1" customWidth="1"/>
    <col min="5124" max="5124" width="34.140625" style="4" customWidth="1"/>
    <col min="5125" max="5125" width="44.7109375" style="4" bestFit="1" customWidth="1"/>
    <col min="5126" max="5126" width="14" style="4" customWidth="1"/>
    <col min="5127" max="5127" width="16.140625" style="4" customWidth="1"/>
    <col min="5128" max="5128" width="26.5703125" style="4" bestFit="1" customWidth="1"/>
    <col min="5129" max="5129" width="24.5703125" style="4" customWidth="1"/>
    <col min="5130" max="5130" width="15" style="4" customWidth="1"/>
    <col min="5131" max="5376" width="11.42578125" style="4"/>
    <col min="5377" max="5377" width="10.5703125" style="4" customWidth="1"/>
    <col min="5378" max="5378" width="7.7109375" style="4" customWidth="1"/>
    <col min="5379" max="5379" width="25.140625" style="4" bestFit="1" customWidth="1"/>
    <col min="5380" max="5380" width="34.140625" style="4" customWidth="1"/>
    <col min="5381" max="5381" width="44.7109375" style="4" bestFit="1" customWidth="1"/>
    <col min="5382" max="5382" width="14" style="4" customWidth="1"/>
    <col min="5383" max="5383" width="16.140625" style="4" customWidth="1"/>
    <col min="5384" max="5384" width="26.5703125" style="4" bestFit="1" customWidth="1"/>
    <col min="5385" max="5385" width="24.5703125" style="4" customWidth="1"/>
    <col min="5386" max="5386" width="15" style="4" customWidth="1"/>
    <col min="5387" max="5632" width="11.42578125" style="4"/>
    <col min="5633" max="5633" width="10.5703125" style="4" customWidth="1"/>
    <col min="5634" max="5634" width="7.7109375" style="4" customWidth="1"/>
    <col min="5635" max="5635" width="25.140625" style="4" bestFit="1" customWidth="1"/>
    <col min="5636" max="5636" width="34.140625" style="4" customWidth="1"/>
    <col min="5637" max="5637" width="44.7109375" style="4" bestFit="1" customWidth="1"/>
    <col min="5638" max="5638" width="14" style="4" customWidth="1"/>
    <col min="5639" max="5639" width="16.140625" style="4" customWidth="1"/>
    <col min="5640" max="5640" width="26.5703125" style="4" bestFit="1" customWidth="1"/>
    <col min="5641" max="5641" width="24.5703125" style="4" customWidth="1"/>
    <col min="5642" max="5642" width="15" style="4" customWidth="1"/>
    <col min="5643" max="5888" width="11.42578125" style="4"/>
    <col min="5889" max="5889" width="10.5703125" style="4" customWidth="1"/>
    <col min="5890" max="5890" width="7.7109375" style="4" customWidth="1"/>
    <col min="5891" max="5891" width="25.140625" style="4" bestFit="1" customWidth="1"/>
    <col min="5892" max="5892" width="34.140625" style="4" customWidth="1"/>
    <col min="5893" max="5893" width="44.7109375" style="4" bestFit="1" customWidth="1"/>
    <col min="5894" max="5894" width="14" style="4" customWidth="1"/>
    <col min="5895" max="5895" width="16.140625" style="4" customWidth="1"/>
    <col min="5896" max="5896" width="26.5703125" style="4" bestFit="1" customWidth="1"/>
    <col min="5897" max="5897" width="24.5703125" style="4" customWidth="1"/>
    <col min="5898" max="5898" width="15" style="4" customWidth="1"/>
    <col min="5899" max="6144" width="11.42578125" style="4"/>
    <col min="6145" max="6145" width="10.5703125" style="4" customWidth="1"/>
    <col min="6146" max="6146" width="7.7109375" style="4" customWidth="1"/>
    <col min="6147" max="6147" width="25.140625" style="4" bestFit="1" customWidth="1"/>
    <col min="6148" max="6148" width="34.140625" style="4" customWidth="1"/>
    <col min="6149" max="6149" width="44.7109375" style="4" bestFit="1" customWidth="1"/>
    <col min="6150" max="6150" width="14" style="4" customWidth="1"/>
    <col min="6151" max="6151" width="16.140625" style="4" customWidth="1"/>
    <col min="6152" max="6152" width="26.5703125" style="4" bestFit="1" customWidth="1"/>
    <col min="6153" max="6153" width="24.5703125" style="4" customWidth="1"/>
    <col min="6154" max="6154" width="15" style="4" customWidth="1"/>
    <col min="6155" max="6400" width="11.42578125" style="4"/>
    <col min="6401" max="6401" width="10.5703125" style="4" customWidth="1"/>
    <col min="6402" max="6402" width="7.7109375" style="4" customWidth="1"/>
    <col min="6403" max="6403" width="25.140625" style="4" bestFit="1" customWidth="1"/>
    <col min="6404" max="6404" width="34.140625" style="4" customWidth="1"/>
    <col min="6405" max="6405" width="44.7109375" style="4" bestFit="1" customWidth="1"/>
    <col min="6406" max="6406" width="14" style="4" customWidth="1"/>
    <col min="6407" max="6407" width="16.140625" style="4" customWidth="1"/>
    <col min="6408" max="6408" width="26.5703125" style="4" bestFit="1" customWidth="1"/>
    <col min="6409" max="6409" width="24.5703125" style="4" customWidth="1"/>
    <col min="6410" max="6410" width="15" style="4" customWidth="1"/>
    <col min="6411" max="6656" width="11.42578125" style="4"/>
    <col min="6657" max="6657" width="10.5703125" style="4" customWidth="1"/>
    <col min="6658" max="6658" width="7.7109375" style="4" customWidth="1"/>
    <col min="6659" max="6659" width="25.140625" style="4" bestFit="1" customWidth="1"/>
    <col min="6660" max="6660" width="34.140625" style="4" customWidth="1"/>
    <col min="6661" max="6661" width="44.7109375" style="4" bestFit="1" customWidth="1"/>
    <col min="6662" max="6662" width="14" style="4" customWidth="1"/>
    <col min="6663" max="6663" width="16.140625" style="4" customWidth="1"/>
    <col min="6664" max="6664" width="26.5703125" style="4" bestFit="1" customWidth="1"/>
    <col min="6665" max="6665" width="24.5703125" style="4" customWidth="1"/>
    <col min="6666" max="6666" width="15" style="4" customWidth="1"/>
    <col min="6667" max="6912" width="11.42578125" style="4"/>
    <col min="6913" max="6913" width="10.5703125" style="4" customWidth="1"/>
    <col min="6914" max="6914" width="7.7109375" style="4" customWidth="1"/>
    <col min="6915" max="6915" width="25.140625" style="4" bestFit="1" customWidth="1"/>
    <col min="6916" max="6916" width="34.140625" style="4" customWidth="1"/>
    <col min="6917" max="6917" width="44.7109375" style="4" bestFit="1" customWidth="1"/>
    <col min="6918" max="6918" width="14" style="4" customWidth="1"/>
    <col min="6919" max="6919" width="16.140625" style="4" customWidth="1"/>
    <col min="6920" max="6920" width="26.5703125" style="4" bestFit="1" customWidth="1"/>
    <col min="6921" max="6921" width="24.5703125" style="4" customWidth="1"/>
    <col min="6922" max="6922" width="15" style="4" customWidth="1"/>
    <col min="6923" max="7168" width="11.42578125" style="4"/>
    <col min="7169" max="7169" width="10.5703125" style="4" customWidth="1"/>
    <col min="7170" max="7170" width="7.7109375" style="4" customWidth="1"/>
    <col min="7171" max="7171" width="25.140625" style="4" bestFit="1" customWidth="1"/>
    <col min="7172" max="7172" width="34.140625" style="4" customWidth="1"/>
    <col min="7173" max="7173" width="44.7109375" style="4" bestFit="1" customWidth="1"/>
    <col min="7174" max="7174" width="14" style="4" customWidth="1"/>
    <col min="7175" max="7175" width="16.140625" style="4" customWidth="1"/>
    <col min="7176" max="7176" width="26.5703125" style="4" bestFit="1" customWidth="1"/>
    <col min="7177" max="7177" width="24.5703125" style="4" customWidth="1"/>
    <col min="7178" max="7178" width="15" style="4" customWidth="1"/>
    <col min="7179" max="7424" width="11.42578125" style="4"/>
    <col min="7425" max="7425" width="10.5703125" style="4" customWidth="1"/>
    <col min="7426" max="7426" width="7.7109375" style="4" customWidth="1"/>
    <col min="7427" max="7427" width="25.140625" style="4" bestFit="1" customWidth="1"/>
    <col min="7428" max="7428" width="34.140625" style="4" customWidth="1"/>
    <col min="7429" max="7429" width="44.7109375" style="4" bestFit="1" customWidth="1"/>
    <col min="7430" max="7430" width="14" style="4" customWidth="1"/>
    <col min="7431" max="7431" width="16.140625" style="4" customWidth="1"/>
    <col min="7432" max="7432" width="26.5703125" style="4" bestFit="1" customWidth="1"/>
    <col min="7433" max="7433" width="24.5703125" style="4" customWidth="1"/>
    <col min="7434" max="7434" width="15" style="4" customWidth="1"/>
    <col min="7435" max="7680" width="11.42578125" style="4"/>
    <col min="7681" max="7681" width="10.5703125" style="4" customWidth="1"/>
    <col min="7682" max="7682" width="7.7109375" style="4" customWidth="1"/>
    <col min="7683" max="7683" width="25.140625" style="4" bestFit="1" customWidth="1"/>
    <col min="7684" max="7684" width="34.140625" style="4" customWidth="1"/>
    <col min="7685" max="7685" width="44.7109375" style="4" bestFit="1" customWidth="1"/>
    <col min="7686" max="7686" width="14" style="4" customWidth="1"/>
    <col min="7687" max="7687" width="16.140625" style="4" customWidth="1"/>
    <col min="7688" max="7688" width="26.5703125" style="4" bestFit="1" customWidth="1"/>
    <col min="7689" max="7689" width="24.5703125" style="4" customWidth="1"/>
    <col min="7690" max="7690" width="15" style="4" customWidth="1"/>
    <col min="7691" max="7936" width="11.42578125" style="4"/>
    <col min="7937" max="7937" width="10.5703125" style="4" customWidth="1"/>
    <col min="7938" max="7938" width="7.7109375" style="4" customWidth="1"/>
    <col min="7939" max="7939" width="25.140625" style="4" bestFit="1" customWidth="1"/>
    <col min="7940" max="7940" width="34.140625" style="4" customWidth="1"/>
    <col min="7941" max="7941" width="44.7109375" style="4" bestFit="1" customWidth="1"/>
    <col min="7942" max="7942" width="14" style="4" customWidth="1"/>
    <col min="7943" max="7943" width="16.140625" style="4" customWidth="1"/>
    <col min="7944" max="7944" width="26.5703125" style="4" bestFit="1" customWidth="1"/>
    <col min="7945" max="7945" width="24.5703125" style="4" customWidth="1"/>
    <col min="7946" max="7946" width="15" style="4" customWidth="1"/>
    <col min="7947" max="8192" width="11.42578125" style="4"/>
    <col min="8193" max="8193" width="10.5703125" style="4" customWidth="1"/>
    <col min="8194" max="8194" width="7.7109375" style="4" customWidth="1"/>
    <col min="8195" max="8195" width="25.140625" style="4" bestFit="1" customWidth="1"/>
    <col min="8196" max="8196" width="34.140625" style="4" customWidth="1"/>
    <col min="8197" max="8197" width="44.7109375" style="4" bestFit="1" customWidth="1"/>
    <col min="8198" max="8198" width="14" style="4" customWidth="1"/>
    <col min="8199" max="8199" width="16.140625" style="4" customWidth="1"/>
    <col min="8200" max="8200" width="26.5703125" style="4" bestFit="1" customWidth="1"/>
    <col min="8201" max="8201" width="24.5703125" style="4" customWidth="1"/>
    <col min="8202" max="8202" width="15" style="4" customWidth="1"/>
    <col min="8203" max="8448" width="11.42578125" style="4"/>
    <col min="8449" max="8449" width="10.5703125" style="4" customWidth="1"/>
    <col min="8450" max="8450" width="7.7109375" style="4" customWidth="1"/>
    <col min="8451" max="8451" width="25.140625" style="4" bestFit="1" customWidth="1"/>
    <col min="8452" max="8452" width="34.140625" style="4" customWidth="1"/>
    <col min="8453" max="8453" width="44.7109375" style="4" bestFit="1" customWidth="1"/>
    <col min="8454" max="8454" width="14" style="4" customWidth="1"/>
    <col min="8455" max="8455" width="16.140625" style="4" customWidth="1"/>
    <col min="8456" max="8456" width="26.5703125" style="4" bestFit="1" customWidth="1"/>
    <col min="8457" max="8457" width="24.5703125" style="4" customWidth="1"/>
    <col min="8458" max="8458" width="15" style="4" customWidth="1"/>
    <col min="8459" max="8704" width="11.42578125" style="4"/>
    <col min="8705" max="8705" width="10.5703125" style="4" customWidth="1"/>
    <col min="8706" max="8706" width="7.7109375" style="4" customWidth="1"/>
    <col min="8707" max="8707" width="25.140625" style="4" bestFit="1" customWidth="1"/>
    <col min="8708" max="8708" width="34.140625" style="4" customWidth="1"/>
    <col min="8709" max="8709" width="44.7109375" style="4" bestFit="1" customWidth="1"/>
    <col min="8710" max="8710" width="14" style="4" customWidth="1"/>
    <col min="8711" max="8711" width="16.140625" style="4" customWidth="1"/>
    <col min="8712" max="8712" width="26.5703125" style="4" bestFit="1" customWidth="1"/>
    <col min="8713" max="8713" width="24.5703125" style="4" customWidth="1"/>
    <col min="8714" max="8714" width="15" style="4" customWidth="1"/>
    <col min="8715" max="8960" width="11.42578125" style="4"/>
    <col min="8961" max="8961" width="10.5703125" style="4" customWidth="1"/>
    <col min="8962" max="8962" width="7.7109375" style="4" customWidth="1"/>
    <col min="8963" max="8963" width="25.140625" style="4" bestFit="1" customWidth="1"/>
    <col min="8964" max="8964" width="34.140625" style="4" customWidth="1"/>
    <col min="8965" max="8965" width="44.7109375" style="4" bestFit="1" customWidth="1"/>
    <col min="8966" max="8966" width="14" style="4" customWidth="1"/>
    <col min="8967" max="8967" width="16.140625" style="4" customWidth="1"/>
    <col min="8968" max="8968" width="26.5703125" style="4" bestFit="1" customWidth="1"/>
    <col min="8969" max="8969" width="24.5703125" style="4" customWidth="1"/>
    <col min="8970" max="8970" width="15" style="4" customWidth="1"/>
    <col min="8971" max="9216" width="11.42578125" style="4"/>
    <col min="9217" max="9217" width="10.5703125" style="4" customWidth="1"/>
    <col min="9218" max="9218" width="7.7109375" style="4" customWidth="1"/>
    <col min="9219" max="9219" width="25.140625" style="4" bestFit="1" customWidth="1"/>
    <col min="9220" max="9220" width="34.140625" style="4" customWidth="1"/>
    <col min="9221" max="9221" width="44.7109375" style="4" bestFit="1" customWidth="1"/>
    <col min="9222" max="9222" width="14" style="4" customWidth="1"/>
    <col min="9223" max="9223" width="16.140625" style="4" customWidth="1"/>
    <col min="9224" max="9224" width="26.5703125" style="4" bestFit="1" customWidth="1"/>
    <col min="9225" max="9225" width="24.5703125" style="4" customWidth="1"/>
    <col min="9226" max="9226" width="15" style="4" customWidth="1"/>
    <col min="9227" max="9472" width="11.42578125" style="4"/>
    <col min="9473" max="9473" width="10.5703125" style="4" customWidth="1"/>
    <col min="9474" max="9474" width="7.7109375" style="4" customWidth="1"/>
    <col min="9475" max="9475" width="25.140625" style="4" bestFit="1" customWidth="1"/>
    <col min="9476" max="9476" width="34.140625" style="4" customWidth="1"/>
    <col min="9477" max="9477" width="44.7109375" style="4" bestFit="1" customWidth="1"/>
    <col min="9478" max="9478" width="14" style="4" customWidth="1"/>
    <col min="9479" max="9479" width="16.140625" style="4" customWidth="1"/>
    <col min="9480" max="9480" width="26.5703125" style="4" bestFit="1" customWidth="1"/>
    <col min="9481" max="9481" width="24.5703125" style="4" customWidth="1"/>
    <col min="9482" max="9482" width="15" style="4" customWidth="1"/>
    <col min="9483" max="9728" width="11.42578125" style="4"/>
    <col min="9729" max="9729" width="10.5703125" style="4" customWidth="1"/>
    <col min="9730" max="9730" width="7.7109375" style="4" customWidth="1"/>
    <col min="9731" max="9731" width="25.140625" style="4" bestFit="1" customWidth="1"/>
    <col min="9732" max="9732" width="34.140625" style="4" customWidth="1"/>
    <col min="9733" max="9733" width="44.7109375" style="4" bestFit="1" customWidth="1"/>
    <col min="9734" max="9734" width="14" style="4" customWidth="1"/>
    <col min="9735" max="9735" width="16.140625" style="4" customWidth="1"/>
    <col min="9736" max="9736" width="26.5703125" style="4" bestFit="1" customWidth="1"/>
    <col min="9737" max="9737" width="24.5703125" style="4" customWidth="1"/>
    <col min="9738" max="9738" width="15" style="4" customWidth="1"/>
    <col min="9739" max="9984" width="11.42578125" style="4"/>
    <col min="9985" max="9985" width="10.5703125" style="4" customWidth="1"/>
    <col min="9986" max="9986" width="7.7109375" style="4" customWidth="1"/>
    <col min="9987" max="9987" width="25.140625" style="4" bestFit="1" customWidth="1"/>
    <col min="9988" max="9988" width="34.140625" style="4" customWidth="1"/>
    <col min="9989" max="9989" width="44.7109375" style="4" bestFit="1" customWidth="1"/>
    <col min="9990" max="9990" width="14" style="4" customWidth="1"/>
    <col min="9991" max="9991" width="16.140625" style="4" customWidth="1"/>
    <col min="9992" max="9992" width="26.5703125" style="4" bestFit="1" customWidth="1"/>
    <col min="9993" max="9993" width="24.5703125" style="4" customWidth="1"/>
    <col min="9994" max="9994" width="15" style="4" customWidth="1"/>
    <col min="9995" max="10240" width="11.42578125" style="4"/>
    <col min="10241" max="10241" width="10.5703125" style="4" customWidth="1"/>
    <col min="10242" max="10242" width="7.7109375" style="4" customWidth="1"/>
    <col min="10243" max="10243" width="25.140625" style="4" bestFit="1" customWidth="1"/>
    <col min="10244" max="10244" width="34.140625" style="4" customWidth="1"/>
    <col min="10245" max="10245" width="44.7109375" style="4" bestFit="1" customWidth="1"/>
    <col min="10246" max="10246" width="14" style="4" customWidth="1"/>
    <col min="10247" max="10247" width="16.140625" style="4" customWidth="1"/>
    <col min="10248" max="10248" width="26.5703125" style="4" bestFit="1" customWidth="1"/>
    <col min="10249" max="10249" width="24.5703125" style="4" customWidth="1"/>
    <col min="10250" max="10250" width="15" style="4" customWidth="1"/>
    <col min="10251" max="10496" width="11.42578125" style="4"/>
    <col min="10497" max="10497" width="10.5703125" style="4" customWidth="1"/>
    <col min="10498" max="10498" width="7.7109375" style="4" customWidth="1"/>
    <col min="10499" max="10499" width="25.140625" style="4" bestFit="1" customWidth="1"/>
    <col min="10500" max="10500" width="34.140625" style="4" customWidth="1"/>
    <col min="10501" max="10501" width="44.7109375" style="4" bestFit="1" customWidth="1"/>
    <col min="10502" max="10502" width="14" style="4" customWidth="1"/>
    <col min="10503" max="10503" width="16.140625" style="4" customWidth="1"/>
    <col min="10504" max="10504" width="26.5703125" style="4" bestFit="1" customWidth="1"/>
    <col min="10505" max="10505" width="24.5703125" style="4" customWidth="1"/>
    <col min="10506" max="10506" width="15" style="4" customWidth="1"/>
    <col min="10507" max="10752" width="11.42578125" style="4"/>
    <col min="10753" max="10753" width="10.5703125" style="4" customWidth="1"/>
    <col min="10754" max="10754" width="7.7109375" style="4" customWidth="1"/>
    <col min="10755" max="10755" width="25.140625" style="4" bestFit="1" customWidth="1"/>
    <col min="10756" max="10756" width="34.140625" style="4" customWidth="1"/>
    <col min="10757" max="10757" width="44.7109375" style="4" bestFit="1" customWidth="1"/>
    <col min="10758" max="10758" width="14" style="4" customWidth="1"/>
    <col min="10759" max="10759" width="16.140625" style="4" customWidth="1"/>
    <col min="10760" max="10760" width="26.5703125" style="4" bestFit="1" customWidth="1"/>
    <col min="10761" max="10761" width="24.5703125" style="4" customWidth="1"/>
    <col min="10762" max="10762" width="15" style="4" customWidth="1"/>
    <col min="10763" max="11008" width="11.42578125" style="4"/>
    <col min="11009" max="11009" width="10.5703125" style="4" customWidth="1"/>
    <col min="11010" max="11010" width="7.7109375" style="4" customWidth="1"/>
    <col min="11011" max="11011" width="25.140625" style="4" bestFit="1" customWidth="1"/>
    <col min="11012" max="11012" width="34.140625" style="4" customWidth="1"/>
    <col min="11013" max="11013" width="44.7109375" style="4" bestFit="1" customWidth="1"/>
    <col min="11014" max="11014" width="14" style="4" customWidth="1"/>
    <col min="11015" max="11015" width="16.140625" style="4" customWidth="1"/>
    <col min="11016" max="11016" width="26.5703125" style="4" bestFit="1" customWidth="1"/>
    <col min="11017" max="11017" width="24.5703125" style="4" customWidth="1"/>
    <col min="11018" max="11018" width="15" style="4" customWidth="1"/>
    <col min="11019" max="11264" width="11.42578125" style="4"/>
    <col min="11265" max="11265" width="10.5703125" style="4" customWidth="1"/>
    <col min="11266" max="11266" width="7.7109375" style="4" customWidth="1"/>
    <col min="11267" max="11267" width="25.140625" style="4" bestFit="1" customWidth="1"/>
    <col min="11268" max="11268" width="34.140625" style="4" customWidth="1"/>
    <col min="11269" max="11269" width="44.7109375" style="4" bestFit="1" customWidth="1"/>
    <col min="11270" max="11270" width="14" style="4" customWidth="1"/>
    <col min="11271" max="11271" width="16.140625" style="4" customWidth="1"/>
    <col min="11272" max="11272" width="26.5703125" style="4" bestFit="1" customWidth="1"/>
    <col min="11273" max="11273" width="24.5703125" style="4" customWidth="1"/>
    <col min="11274" max="11274" width="15" style="4" customWidth="1"/>
    <col min="11275" max="11520" width="11.42578125" style="4"/>
    <col min="11521" max="11521" width="10.5703125" style="4" customWidth="1"/>
    <col min="11522" max="11522" width="7.7109375" style="4" customWidth="1"/>
    <col min="11523" max="11523" width="25.140625" style="4" bestFit="1" customWidth="1"/>
    <col min="11524" max="11524" width="34.140625" style="4" customWidth="1"/>
    <col min="11525" max="11525" width="44.7109375" style="4" bestFit="1" customWidth="1"/>
    <col min="11526" max="11526" width="14" style="4" customWidth="1"/>
    <col min="11527" max="11527" width="16.140625" style="4" customWidth="1"/>
    <col min="11528" max="11528" width="26.5703125" style="4" bestFit="1" customWidth="1"/>
    <col min="11529" max="11529" width="24.5703125" style="4" customWidth="1"/>
    <col min="11530" max="11530" width="15" style="4" customWidth="1"/>
    <col min="11531" max="11776" width="11.42578125" style="4"/>
    <col min="11777" max="11777" width="10.5703125" style="4" customWidth="1"/>
    <col min="11778" max="11778" width="7.7109375" style="4" customWidth="1"/>
    <col min="11779" max="11779" width="25.140625" style="4" bestFit="1" customWidth="1"/>
    <col min="11780" max="11780" width="34.140625" style="4" customWidth="1"/>
    <col min="11781" max="11781" width="44.7109375" style="4" bestFit="1" customWidth="1"/>
    <col min="11782" max="11782" width="14" style="4" customWidth="1"/>
    <col min="11783" max="11783" width="16.140625" style="4" customWidth="1"/>
    <col min="11784" max="11784" width="26.5703125" style="4" bestFit="1" customWidth="1"/>
    <col min="11785" max="11785" width="24.5703125" style="4" customWidth="1"/>
    <col min="11786" max="11786" width="15" style="4" customWidth="1"/>
    <col min="11787" max="12032" width="11.42578125" style="4"/>
    <col min="12033" max="12033" width="10.5703125" style="4" customWidth="1"/>
    <col min="12034" max="12034" width="7.7109375" style="4" customWidth="1"/>
    <col min="12035" max="12035" width="25.140625" style="4" bestFit="1" customWidth="1"/>
    <col min="12036" max="12036" width="34.140625" style="4" customWidth="1"/>
    <col min="12037" max="12037" width="44.7109375" style="4" bestFit="1" customWidth="1"/>
    <col min="12038" max="12038" width="14" style="4" customWidth="1"/>
    <col min="12039" max="12039" width="16.140625" style="4" customWidth="1"/>
    <col min="12040" max="12040" width="26.5703125" style="4" bestFit="1" customWidth="1"/>
    <col min="12041" max="12041" width="24.5703125" style="4" customWidth="1"/>
    <col min="12042" max="12042" width="15" style="4" customWidth="1"/>
    <col min="12043" max="12288" width="11.42578125" style="4"/>
    <col min="12289" max="12289" width="10.5703125" style="4" customWidth="1"/>
    <col min="12290" max="12290" width="7.7109375" style="4" customWidth="1"/>
    <col min="12291" max="12291" width="25.140625" style="4" bestFit="1" customWidth="1"/>
    <col min="12292" max="12292" width="34.140625" style="4" customWidth="1"/>
    <col min="12293" max="12293" width="44.7109375" style="4" bestFit="1" customWidth="1"/>
    <col min="12294" max="12294" width="14" style="4" customWidth="1"/>
    <col min="12295" max="12295" width="16.140625" style="4" customWidth="1"/>
    <col min="12296" max="12296" width="26.5703125" style="4" bestFit="1" customWidth="1"/>
    <col min="12297" max="12297" width="24.5703125" style="4" customWidth="1"/>
    <col min="12298" max="12298" width="15" style="4" customWidth="1"/>
    <col min="12299" max="12544" width="11.42578125" style="4"/>
    <col min="12545" max="12545" width="10.5703125" style="4" customWidth="1"/>
    <col min="12546" max="12546" width="7.7109375" style="4" customWidth="1"/>
    <col min="12547" max="12547" width="25.140625" style="4" bestFit="1" customWidth="1"/>
    <col min="12548" max="12548" width="34.140625" style="4" customWidth="1"/>
    <col min="12549" max="12549" width="44.7109375" style="4" bestFit="1" customWidth="1"/>
    <col min="12550" max="12550" width="14" style="4" customWidth="1"/>
    <col min="12551" max="12551" width="16.140625" style="4" customWidth="1"/>
    <col min="12552" max="12552" width="26.5703125" style="4" bestFit="1" customWidth="1"/>
    <col min="12553" max="12553" width="24.5703125" style="4" customWidth="1"/>
    <col min="12554" max="12554" width="15" style="4" customWidth="1"/>
    <col min="12555" max="12800" width="11.42578125" style="4"/>
    <col min="12801" max="12801" width="10.5703125" style="4" customWidth="1"/>
    <col min="12802" max="12802" width="7.7109375" style="4" customWidth="1"/>
    <col min="12803" max="12803" width="25.140625" style="4" bestFit="1" customWidth="1"/>
    <col min="12804" max="12804" width="34.140625" style="4" customWidth="1"/>
    <col min="12805" max="12805" width="44.7109375" style="4" bestFit="1" customWidth="1"/>
    <col min="12806" max="12806" width="14" style="4" customWidth="1"/>
    <col min="12807" max="12807" width="16.140625" style="4" customWidth="1"/>
    <col min="12808" max="12808" width="26.5703125" style="4" bestFit="1" customWidth="1"/>
    <col min="12809" max="12809" width="24.5703125" style="4" customWidth="1"/>
    <col min="12810" max="12810" width="15" style="4" customWidth="1"/>
    <col min="12811" max="13056" width="11.42578125" style="4"/>
    <col min="13057" max="13057" width="10.5703125" style="4" customWidth="1"/>
    <col min="13058" max="13058" width="7.7109375" style="4" customWidth="1"/>
    <col min="13059" max="13059" width="25.140625" style="4" bestFit="1" customWidth="1"/>
    <col min="13060" max="13060" width="34.140625" style="4" customWidth="1"/>
    <col min="13061" max="13061" width="44.7109375" style="4" bestFit="1" customWidth="1"/>
    <col min="13062" max="13062" width="14" style="4" customWidth="1"/>
    <col min="13063" max="13063" width="16.140625" style="4" customWidth="1"/>
    <col min="13064" max="13064" width="26.5703125" style="4" bestFit="1" customWidth="1"/>
    <col min="13065" max="13065" width="24.5703125" style="4" customWidth="1"/>
    <col min="13066" max="13066" width="15" style="4" customWidth="1"/>
    <col min="13067" max="13312" width="11.42578125" style="4"/>
    <col min="13313" max="13313" width="10.5703125" style="4" customWidth="1"/>
    <col min="13314" max="13314" width="7.7109375" style="4" customWidth="1"/>
    <col min="13315" max="13315" width="25.140625" style="4" bestFit="1" customWidth="1"/>
    <col min="13316" max="13316" width="34.140625" style="4" customWidth="1"/>
    <col min="13317" max="13317" width="44.7109375" style="4" bestFit="1" customWidth="1"/>
    <col min="13318" max="13318" width="14" style="4" customWidth="1"/>
    <col min="13319" max="13319" width="16.140625" style="4" customWidth="1"/>
    <col min="13320" max="13320" width="26.5703125" style="4" bestFit="1" customWidth="1"/>
    <col min="13321" max="13321" width="24.5703125" style="4" customWidth="1"/>
    <col min="13322" max="13322" width="15" style="4" customWidth="1"/>
    <col min="13323" max="13568" width="11.42578125" style="4"/>
    <col min="13569" max="13569" width="10.5703125" style="4" customWidth="1"/>
    <col min="13570" max="13570" width="7.7109375" style="4" customWidth="1"/>
    <col min="13571" max="13571" width="25.140625" style="4" bestFit="1" customWidth="1"/>
    <col min="13572" max="13572" width="34.140625" style="4" customWidth="1"/>
    <col min="13573" max="13573" width="44.7109375" style="4" bestFit="1" customWidth="1"/>
    <col min="13574" max="13574" width="14" style="4" customWidth="1"/>
    <col min="13575" max="13575" width="16.140625" style="4" customWidth="1"/>
    <col min="13576" max="13576" width="26.5703125" style="4" bestFit="1" customWidth="1"/>
    <col min="13577" max="13577" width="24.5703125" style="4" customWidth="1"/>
    <col min="13578" max="13578" width="15" style="4" customWidth="1"/>
    <col min="13579" max="13824" width="11.42578125" style="4"/>
    <col min="13825" max="13825" width="10.5703125" style="4" customWidth="1"/>
    <col min="13826" max="13826" width="7.7109375" style="4" customWidth="1"/>
    <col min="13827" max="13827" width="25.140625" style="4" bestFit="1" customWidth="1"/>
    <col min="13828" max="13828" width="34.140625" style="4" customWidth="1"/>
    <col min="13829" max="13829" width="44.7109375" style="4" bestFit="1" customWidth="1"/>
    <col min="13830" max="13830" width="14" style="4" customWidth="1"/>
    <col min="13831" max="13831" width="16.140625" style="4" customWidth="1"/>
    <col min="13832" max="13832" width="26.5703125" style="4" bestFit="1" customWidth="1"/>
    <col min="13833" max="13833" width="24.5703125" style="4" customWidth="1"/>
    <col min="13834" max="13834" width="15" style="4" customWidth="1"/>
    <col min="13835" max="14080" width="11.42578125" style="4"/>
    <col min="14081" max="14081" width="10.5703125" style="4" customWidth="1"/>
    <col min="14082" max="14082" width="7.7109375" style="4" customWidth="1"/>
    <col min="14083" max="14083" width="25.140625" style="4" bestFit="1" customWidth="1"/>
    <col min="14084" max="14084" width="34.140625" style="4" customWidth="1"/>
    <col min="14085" max="14085" width="44.7109375" style="4" bestFit="1" customWidth="1"/>
    <col min="14086" max="14086" width="14" style="4" customWidth="1"/>
    <col min="14087" max="14087" width="16.140625" style="4" customWidth="1"/>
    <col min="14088" max="14088" width="26.5703125" style="4" bestFit="1" customWidth="1"/>
    <col min="14089" max="14089" width="24.5703125" style="4" customWidth="1"/>
    <col min="14090" max="14090" width="15" style="4" customWidth="1"/>
    <col min="14091" max="14336" width="11.42578125" style="4"/>
    <col min="14337" max="14337" width="10.5703125" style="4" customWidth="1"/>
    <col min="14338" max="14338" width="7.7109375" style="4" customWidth="1"/>
    <col min="14339" max="14339" width="25.140625" style="4" bestFit="1" customWidth="1"/>
    <col min="14340" max="14340" width="34.140625" style="4" customWidth="1"/>
    <col min="14341" max="14341" width="44.7109375" style="4" bestFit="1" customWidth="1"/>
    <col min="14342" max="14342" width="14" style="4" customWidth="1"/>
    <col min="14343" max="14343" width="16.140625" style="4" customWidth="1"/>
    <col min="14344" max="14344" width="26.5703125" style="4" bestFit="1" customWidth="1"/>
    <col min="14345" max="14345" width="24.5703125" style="4" customWidth="1"/>
    <col min="14346" max="14346" width="15" style="4" customWidth="1"/>
    <col min="14347" max="14592" width="11.42578125" style="4"/>
    <col min="14593" max="14593" width="10.5703125" style="4" customWidth="1"/>
    <col min="14594" max="14594" width="7.7109375" style="4" customWidth="1"/>
    <col min="14595" max="14595" width="25.140625" style="4" bestFit="1" customWidth="1"/>
    <col min="14596" max="14596" width="34.140625" style="4" customWidth="1"/>
    <col min="14597" max="14597" width="44.7109375" style="4" bestFit="1" customWidth="1"/>
    <col min="14598" max="14598" width="14" style="4" customWidth="1"/>
    <col min="14599" max="14599" width="16.140625" style="4" customWidth="1"/>
    <col min="14600" max="14600" width="26.5703125" style="4" bestFit="1" customWidth="1"/>
    <col min="14601" max="14601" width="24.5703125" style="4" customWidth="1"/>
    <col min="14602" max="14602" width="15" style="4" customWidth="1"/>
    <col min="14603" max="14848" width="11.42578125" style="4"/>
    <col min="14849" max="14849" width="10.5703125" style="4" customWidth="1"/>
    <col min="14850" max="14850" width="7.7109375" style="4" customWidth="1"/>
    <col min="14851" max="14851" width="25.140625" style="4" bestFit="1" customWidth="1"/>
    <col min="14852" max="14852" width="34.140625" style="4" customWidth="1"/>
    <col min="14853" max="14853" width="44.7109375" style="4" bestFit="1" customWidth="1"/>
    <col min="14854" max="14854" width="14" style="4" customWidth="1"/>
    <col min="14855" max="14855" width="16.140625" style="4" customWidth="1"/>
    <col min="14856" max="14856" width="26.5703125" style="4" bestFit="1" customWidth="1"/>
    <col min="14857" max="14857" width="24.5703125" style="4" customWidth="1"/>
    <col min="14858" max="14858" width="15" style="4" customWidth="1"/>
    <col min="14859" max="15104" width="11.42578125" style="4"/>
    <col min="15105" max="15105" width="10.5703125" style="4" customWidth="1"/>
    <col min="15106" max="15106" width="7.7109375" style="4" customWidth="1"/>
    <col min="15107" max="15107" width="25.140625" style="4" bestFit="1" customWidth="1"/>
    <col min="15108" max="15108" width="34.140625" style="4" customWidth="1"/>
    <col min="15109" max="15109" width="44.7109375" style="4" bestFit="1" customWidth="1"/>
    <col min="15110" max="15110" width="14" style="4" customWidth="1"/>
    <col min="15111" max="15111" width="16.140625" style="4" customWidth="1"/>
    <col min="15112" max="15112" width="26.5703125" style="4" bestFit="1" customWidth="1"/>
    <col min="15113" max="15113" width="24.5703125" style="4" customWidth="1"/>
    <col min="15114" max="15114" width="15" style="4" customWidth="1"/>
    <col min="15115" max="15360" width="11.42578125" style="4"/>
    <col min="15361" max="15361" width="10.5703125" style="4" customWidth="1"/>
    <col min="15362" max="15362" width="7.7109375" style="4" customWidth="1"/>
    <col min="15363" max="15363" width="25.140625" style="4" bestFit="1" customWidth="1"/>
    <col min="15364" max="15364" width="34.140625" style="4" customWidth="1"/>
    <col min="15365" max="15365" width="44.7109375" style="4" bestFit="1" customWidth="1"/>
    <col min="15366" max="15366" width="14" style="4" customWidth="1"/>
    <col min="15367" max="15367" width="16.140625" style="4" customWidth="1"/>
    <col min="15368" max="15368" width="26.5703125" style="4" bestFit="1" customWidth="1"/>
    <col min="15369" max="15369" width="24.5703125" style="4" customWidth="1"/>
    <col min="15370" max="15370" width="15" style="4" customWidth="1"/>
    <col min="15371" max="15616" width="11.42578125" style="4"/>
    <col min="15617" max="15617" width="10.5703125" style="4" customWidth="1"/>
    <col min="15618" max="15618" width="7.7109375" style="4" customWidth="1"/>
    <col min="15619" max="15619" width="25.140625" style="4" bestFit="1" customWidth="1"/>
    <col min="15620" max="15620" width="34.140625" style="4" customWidth="1"/>
    <col min="15621" max="15621" width="44.7109375" style="4" bestFit="1" customWidth="1"/>
    <col min="15622" max="15622" width="14" style="4" customWidth="1"/>
    <col min="15623" max="15623" width="16.140625" style="4" customWidth="1"/>
    <col min="15624" max="15624" width="26.5703125" style="4" bestFit="1" customWidth="1"/>
    <col min="15625" max="15625" width="24.5703125" style="4" customWidth="1"/>
    <col min="15626" max="15626" width="15" style="4" customWidth="1"/>
    <col min="15627" max="15872" width="11.42578125" style="4"/>
    <col min="15873" max="15873" width="10.5703125" style="4" customWidth="1"/>
    <col min="15874" max="15874" width="7.7109375" style="4" customWidth="1"/>
    <col min="15875" max="15875" width="25.140625" style="4" bestFit="1" customWidth="1"/>
    <col min="15876" max="15876" width="34.140625" style="4" customWidth="1"/>
    <col min="15877" max="15877" width="44.7109375" style="4" bestFit="1" customWidth="1"/>
    <col min="15878" max="15878" width="14" style="4" customWidth="1"/>
    <col min="15879" max="15879" width="16.140625" style="4" customWidth="1"/>
    <col min="15880" max="15880" width="26.5703125" style="4" bestFit="1" customWidth="1"/>
    <col min="15881" max="15881" width="24.5703125" style="4" customWidth="1"/>
    <col min="15882" max="15882" width="15" style="4" customWidth="1"/>
    <col min="15883" max="16128" width="11.42578125" style="4"/>
    <col min="16129" max="16129" width="10.5703125" style="4" customWidth="1"/>
    <col min="16130" max="16130" width="7.7109375" style="4" customWidth="1"/>
    <col min="16131" max="16131" width="25.140625" style="4" bestFit="1" customWidth="1"/>
    <col min="16132" max="16132" width="34.140625" style="4" customWidth="1"/>
    <col min="16133" max="16133" width="44.7109375" style="4" bestFit="1" customWidth="1"/>
    <col min="16134" max="16134" width="14" style="4" customWidth="1"/>
    <col min="16135" max="16135" width="16.140625" style="4" customWidth="1"/>
    <col min="16136" max="16136" width="26.5703125" style="4" bestFit="1" customWidth="1"/>
    <col min="16137" max="16137" width="24.5703125" style="4" customWidth="1"/>
    <col min="16138" max="16138" width="15" style="4" customWidth="1"/>
    <col min="16139" max="16384" width="11.42578125" style="4"/>
  </cols>
  <sheetData>
    <row r="1" spans="1:17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170" x14ac:dyDescent="0.25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7">
        <v>124</v>
      </c>
      <c r="I2" s="7">
        <v>20.66</v>
      </c>
      <c r="J2" s="6" t="s">
        <v>16</v>
      </c>
      <c r="K2"/>
      <c r="L2" s="8"/>
    </row>
    <row r="3" spans="1:170" x14ac:dyDescent="0.25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17</v>
      </c>
      <c r="G3" s="6" t="s">
        <v>15</v>
      </c>
      <c r="H3" s="7">
        <v>59</v>
      </c>
      <c r="I3" s="7">
        <v>9.83</v>
      </c>
      <c r="J3" s="6" t="s">
        <v>18</v>
      </c>
      <c r="K3"/>
      <c r="L3" s="8"/>
      <c r="M3" s="9"/>
    </row>
    <row r="4" spans="1:170" x14ac:dyDescent="0.25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19</v>
      </c>
      <c r="G4" s="6" t="s">
        <v>15</v>
      </c>
      <c r="H4" s="7">
        <v>50</v>
      </c>
      <c r="I4" s="7">
        <v>8.33</v>
      </c>
      <c r="J4" s="6" t="s">
        <v>20</v>
      </c>
      <c r="K4"/>
      <c r="L4" s="8"/>
    </row>
    <row r="5" spans="1:170" s="10" customFormat="1" x14ac:dyDescent="0.2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21</v>
      </c>
      <c r="G5" s="6" t="s">
        <v>22</v>
      </c>
      <c r="H5" s="7">
        <v>1703</v>
      </c>
      <c r="I5" s="7">
        <v>141.84</v>
      </c>
      <c r="J5" s="6" t="s">
        <v>23</v>
      </c>
      <c r="K5"/>
      <c r="L5" s="8"/>
      <c r="M5" s="5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</row>
    <row r="6" spans="1:170" x14ac:dyDescent="0.25">
      <c r="A6" s="6" t="s">
        <v>9</v>
      </c>
      <c r="B6" s="6" t="s">
        <v>10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15</v>
      </c>
      <c r="H6" s="7">
        <v>17</v>
      </c>
      <c r="I6" s="7">
        <v>2.83</v>
      </c>
      <c r="J6" s="6" t="s">
        <v>28</v>
      </c>
      <c r="K6"/>
      <c r="L6" s="8"/>
    </row>
    <row r="7" spans="1:170" x14ac:dyDescent="0.25">
      <c r="A7" s="6" t="s">
        <v>9</v>
      </c>
      <c r="B7" s="6" t="s">
        <v>10</v>
      </c>
      <c r="C7" s="6" t="s">
        <v>24</v>
      </c>
      <c r="D7" s="6" t="s">
        <v>25</v>
      </c>
      <c r="E7" s="6" t="s">
        <v>26</v>
      </c>
      <c r="F7" s="6" t="s">
        <v>14</v>
      </c>
      <c r="G7" s="6" t="s">
        <v>15</v>
      </c>
      <c r="H7" s="7">
        <v>4</v>
      </c>
      <c r="I7" s="7">
        <v>0.66</v>
      </c>
      <c r="J7" s="6" t="s">
        <v>29</v>
      </c>
      <c r="K7"/>
      <c r="L7" s="8"/>
    </row>
    <row r="8" spans="1:170" x14ac:dyDescent="0.25">
      <c r="A8" s="6" t="s">
        <v>9</v>
      </c>
      <c r="B8" s="6" t="s">
        <v>10</v>
      </c>
      <c r="C8" s="6" t="s">
        <v>24</v>
      </c>
      <c r="D8" s="6" t="s">
        <v>25</v>
      </c>
      <c r="E8" s="6" t="s">
        <v>26</v>
      </c>
      <c r="F8" s="6" t="s">
        <v>30</v>
      </c>
      <c r="G8" s="6" t="s">
        <v>15</v>
      </c>
      <c r="H8" s="7">
        <v>431</v>
      </c>
      <c r="I8" s="7">
        <v>71.819999999999993</v>
      </c>
      <c r="J8" s="6" t="s">
        <v>31</v>
      </c>
      <c r="K8"/>
      <c r="L8" s="8"/>
    </row>
    <row r="9" spans="1:170" x14ac:dyDescent="0.25">
      <c r="A9" s="6" t="s">
        <v>9</v>
      </c>
      <c r="B9" s="6" t="s">
        <v>10</v>
      </c>
      <c r="C9" s="6" t="s">
        <v>24</v>
      </c>
      <c r="D9" s="6" t="s">
        <v>25</v>
      </c>
      <c r="E9" s="6" t="s">
        <v>26</v>
      </c>
      <c r="F9" s="6" t="s">
        <v>21</v>
      </c>
      <c r="G9" s="6" t="s">
        <v>22</v>
      </c>
      <c r="H9" s="7">
        <v>3441</v>
      </c>
      <c r="I9" s="7">
        <v>286.67</v>
      </c>
      <c r="J9" s="6" t="s">
        <v>32</v>
      </c>
      <c r="K9"/>
      <c r="L9" s="8"/>
    </row>
    <row r="10" spans="1:170" x14ac:dyDescent="0.25">
      <c r="A10" s="6" t="s">
        <v>9</v>
      </c>
      <c r="B10" s="6" t="s">
        <v>10</v>
      </c>
      <c r="C10" s="6" t="s">
        <v>24</v>
      </c>
      <c r="D10" s="6" t="s">
        <v>33</v>
      </c>
      <c r="E10" s="6" t="s">
        <v>34</v>
      </c>
      <c r="F10" s="6" t="s">
        <v>21</v>
      </c>
      <c r="G10" s="6" t="s">
        <v>22</v>
      </c>
      <c r="H10" s="7">
        <v>268</v>
      </c>
      <c r="I10" s="7">
        <v>22.31</v>
      </c>
      <c r="J10" s="6" t="s">
        <v>35</v>
      </c>
      <c r="K10"/>
      <c r="L10" s="8"/>
    </row>
    <row r="11" spans="1:170" x14ac:dyDescent="0.25">
      <c r="A11" s="6" t="s">
        <v>9</v>
      </c>
      <c r="B11" s="6" t="s">
        <v>10</v>
      </c>
      <c r="C11" s="6" t="s">
        <v>24</v>
      </c>
      <c r="D11" s="6" t="s">
        <v>33</v>
      </c>
      <c r="E11" s="6" t="s">
        <v>34</v>
      </c>
      <c r="F11" s="6" t="s">
        <v>36</v>
      </c>
      <c r="G11" s="6" t="s">
        <v>22</v>
      </c>
      <c r="H11" s="7">
        <v>4088</v>
      </c>
      <c r="I11" s="7">
        <f>H11/12</f>
        <v>340.66666666666669</v>
      </c>
      <c r="J11" s="6" t="s">
        <v>37</v>
      </c>
      <c r="K11"/>
      <c r="L11" s="8"/>
    </row>
    <row r="12" spans="1:170" x14ac:dyDescent="0.25">
      <c r="A12" s="6" t="s">
        <v>9</v>
      </c>
      <c r="B12" s="6" t="s">
        <v>10</v>
      </c>
      <c r="C12" s="6" t="s">
        <v>24</v>
      </c>
      <c r="D12" s="6" t="s">
        <v>33</v>
      </c>
      <c r="E12" s="6" t="s">
        <v>34</v>
      </c>
      <c r="F12" s="6" t="s">
        <v>36</v>
      </c>
      <c r="G12" s="6" t="s">
        <v>22</v>
      </c>
      <c r="H12" s="7">
        <v>14834</v>
      </c>
      <c r="I12" s="7">
        <f>H12/12</f>
        <v>1236.1666666666667</v>
      </c>
      <c r="J12" s="6" t="s">
        <v>38</v>
      </c>
      <c r="K12"/>
      <c r="L12" s="8"/>
    </row>
    <row r="13" spans="1:170" x14ac:dyDescent="0.25">
      <c r="A13" s="6" t="s">
        <v>9</v>
      </c>
      <c r="B13" s="6" t="s">
        <v>10</v>
      </c>
      <c r="C13" s="6" t="s">
        <v>39</v>
      </c>
      <c r="D13" s="6" t="s">
        <v>40</v>
      </c>
      <c r="E13" s="6" t="s">
        <v>41</v>
      </c>
      <c r="F13" s="6" t="s">
        <v>36</v>
      </c>
      <c r="G13" s="6" t="s">
        <v>22</v>
      </c>
      <c r="H13" s="7">
        <v>2252</v>
      </c>
      <c r="I13" s="7">
        <v>187.68</v>
      </c>
      <c r="J13" s="6" t="s">
        <v>42</v>
      </c>
      <c r="K13"/>
      <c r="L13" s="8"/>
    </row>
    <row r="14" spans="1:170" x14ac:dyDescent="0.25">
      <c r="A14" s="6" t="s">
        <v>9</v>
      </c>
      <c r="B14" s="6" t="s">
        <v>10</v>
      </c>
      <c r="C14" s="6" t="s">
        <v>39</v>
      </c>
      <c r="D14" s="6" t="s">
        <v>43</v>
      </c>
      <c r="E14" s="6" t="s">
        <v>44</v>
      </c>
      <c r="F14" s="6" t="s">
        <v>21</v>
      </c>
      <c r="G14" s="6" t="s">
        <v>22</v>
      </c>
      <c r="H14" s="7">
        <v>66</v>
      </c>
      <c r="I14" s="7">
        <v>5.47</v>
      </c>
      <c r="J14" s="6" t="s">
        <v>45</v>
      </c>
      <c r="K14"/>
      <c r="L14" s="8"/>
    </row>
    <row r="15" spans="1:170" x14ac:dyDescent="0.25">
      <c r="A15" s="6" t="s">
        <v>9</v>
      </c>
      <c r="B15" s="6" t="s">
        <v>10</v>
      </c>
      <c r="C15" s="6" t="s">
        <v>39</v>
      </c>
      <c r="D15" s="6" t="s">
        <v>46</v>
      </c>
      <c r="E15" s="6" t="s">
        <v>47</v>
      </c>
      <c r="F15" s="6" t="s">
        <v>21</v>
      </c>
      <c r="G15" s="6" t="s">
        <v>22</v>
      </c>
      <c r="H15" s="7">
        <v>44</v>
      </c>
      <c r="I15" s="7">
        <v>3.64</v>
      </c>
      <c r="J15" s="6" t="s">
        <v>48</v>
      </c>
      <c r="K15"/>
      <c r="L15" s="8"/>
    </row>
    <row r="16" spans="1:170" x14ac:dyDescent="0.25">
      <c r="A16" s="6" t="s">
        <v>9</v>
      </c>
      <c r="B16" s="6" t="s">
        <v>10</v>
      </c>
      <c r="C16" s="6" t="s">
        <v>39</v>
      </c>
      <c r="D16" s="6" t="s">
        <v>46</v>
      </c>
      <c r="E16" s="6" t="s">
        <v>47</v>
      </c>
      <c r="F16" s="6" t="s">
        <v>36</v>
      </c>
      <c r="G16" s="6" t="s">
        <v>22</v>
      </c>
      <c r="H16" s="7">
        <v>2507</v>
      </c>
      <c r="I16" s="7">
        <f>H16/12</f>
        <v>208.91666666666666</v>
      </c>
      <c r="J16" s="6" t="s">
        <v>49</v>
      </c>
      <c r="K16"/>
      <c r="L16" s="8"/>
    </row>
    <row r="17" spans="1:12" x14ac:dyDescent="0.25">
      <c r="A17" s="6" t="s">
        <v>9</v>
      </c>
      <c r="B17" s="6" t="s">
        <v>10</v>
      </c>
      <c r="C17" s="6" t="s">
        <v>50</v>
      </c>
      <c r="D17" s="6" t="s">
        <v>51</v>
      </c>
      <c r="E17" s="6" t="s">
        <v>52</v>
      </c>
      <c r="F17" s="6" t="s">
        <v>21</v>
      </c>
      <c r="G17" s="6" t="s">
        <v>22</v>
      </c>
      <c r="H17" s="7">
        <v>126</v>
      </c>
      <c r="I17" s="7">
        <v>10.47</v>
      </c>
      <c r="J17" s="6" t="s">
        <v>53</v>
      </c>
      <c r="K17"/>
      <c r="L17" s="8"/>
    </row>
    <row r="18" spans="1:12" x14ac:dyDescent="0.25">
      <c r="A18" s="6" t="s">
        <v>9</v>
      </c>
      <c r="B18" s="6" t="s">
        <v>10</v>
      </c>
      <c r="C18" s="6" t="s">
        <v>50</v>
      </c>
      <c r="D18" s="6" t="s">
        <v>51</v>
      </c>
      <c r="E18" s="6" t="s">
        <v>52</v>
      </c>
      <c r="F18" s="6" t="s">
        <v>36</v>
      </c>
      <c r="G18" s="6" t="s">
        <v>22</v>
      </c>
      <c r="H18" s="7">
        <f>1331</f>
        <v>1331</v>
      </c>
      <c r="I18" s="7">
        <f>H18/12</f>
        <v>110.91666666666667</v>
      </c>
      <c r="J18" s="6" t="s">
        <v>54</v>
      </c>
      <c r="K18"/>
      <c r="L18" s="8"/>
    </row>
    <row r="19" spans="1:12" x14ac:dyDescent="0.25">
      <c r="A19" s="6" t="s">
        <v>9</v>
      </c>
      <c r="B19" s="6" t="s">
        <v>10</v>
      </c>
      <c r="C19" s="6" t="s">
        <v>50</v>
      </c>
      <c r="D19" s="6" t="s">
        <v>25</v>
      </c>
      <c r="E19" s="6" t="s">
        <v>55</v>
      </c>
      <c r="F19" s="6" t="s">
        <v>21</v>
      </c>
      <c r="G19" s="6" t="s">
        <v>22</v>
      </c>
      <c r="H19" s="7">
        <v>73</v>
      </c>
      <c r="I19" s="7">
        <v>6.06</v>
      </c>
      <c r="J19" s="6" t="s">
        <v>56</v>
      </c>
      <c r="K19"/>
      <c r="L19" s="8"/>
    </row>
    <row r="20" spans="1:12" x14ac:dyDescent="0.25">
      <c r="A20" s="6" t="s">
        <v>9</v>
      </c>
      <c r="B20" s="6" t="s">
        <v>10</v>
      </c>
      <c r="C20" s="6" t="s">
        <v>50</v>
      </c>
      <c r="D20" s="6" t="s">
        <v>57</v>
      </c>
      <c r="E20" s="6" t="s">
        <v>58</v>
      </c>
      <c r="F20" s="6" t="s">
        <v>21</v>
      </c>
      <c r="G20" s="6" t="s">
        <v>15</v>
      </c>
      <c r="H20" s="7">
        <v>50</v>
      </c>
      <c r="I20" s="7">
        <v>8.34</v>
      </c>
      <c r="J20" s="6" t="s">
        <v>59</v>
      </c>
      <c r="K20"/>
      <c r="L20" s="8"/>
    </row>
    <row r="21" spans="1:12" x14ac:dyDescent="0.25">
      <c r="A21" s="6" t="s">
        <v>9</v>
      </c>
      <c r="B21" s="6" t="s">
        <v>10</v>
      </c>
      <c r="C21" s="6" t="s">
        <v>50</v>
      </c>
      <c r="D21" s="6" t="s">
        <v>57</v>
      </c>
      <c r="E21" s="6" t="s">
        <v>58</v>
      </c>
      <c r="F21" s="6" t="s">
        <v>36</v>
      </c>
      <c r="G21" s="6" t="s">
        <v>22</v>
      </c>
      <c r="H21" s="7">
        <v>3361</v>
      </c>
      <c r="I21" s="7">
        <f>H21/12</f>
        <v>280.08333333333331</v>
      </c>
      <c r="J21" s="6" t="s">
        <v>60</v>
      </c>
      <c r="K21"/>
      <c r="L21" s="8"/>
    </row>
    <row r="22" spans="1:12" x14ac:dyDescent="0.25">
      <c r="A22" s="6" t="s">
        <v>9</v>
      </c>
      <c r="B22" s="6" t="s">
        <v>10</v>
      </c>
      <c r="C22" s="6" t="s">
        <v>50</v>
      </c>
      <c r="D22" s="6" t="s">
        <v>61</v>
      </c>
      <c r="E22" s="6" t="s">
        <v>62</v>
      </c>
      <c r="F22" s="6" t="s">
        <v>19</v>
      </c>
      <c r="G22" s="6" t="s">
        <v>22</v>
      </c>
      <c r="H22" s="7">
        <v>162</v>
      </c>
      <c r="I22" s="7">
        <v>13.5</v>
      </c>
      <c r="J22" s="6" t="s">
        <v>63</v>
      </c>
      <c r="K22"/>
      <c r="L22" s="8"/>
    </row>
    <row r="23" spans="1:12" x14ac:dyDescent="0.25">
      <c r="A23" s="6" t="s">
        <v>9</v>
      </c>
      <c r="B23" s="6" t="s">
        <v>10</v>
      </c>
      <c r="C23" s="6" t="s">
        <v>50</v>
      </c>
      <c r="D23" s="6" t="s">
        <v>61</v>
      </c>
      <c r="E23" s="6" t="s">
        <v>62</v>
      </c>
      <c r="F23" s="6" t="s">
        <v>21</v>
      </c>
      <c r="G23" s="6" t="s">
        <v>22</v>
      </c>
      <c r="H23" s="7">
        <v>1743</v>
      </c>
      <c r="I23" s="7">
        <v>145.16999999999999</v>
      </c>
      <c r="J23" s="6" t="s">
        <v>64</v>
      </c>
      <c r="K23"/>
      <c r="L23" s="8"/>
    </row>
    <row r="24" spans="1:12" x14ac:dyDescent="0.25">
      <c r="A24" s="6" t="s">
        <v>9</v>
      </c>
      <c r="B24" s="6" t="s">
        <v>10</v>
      </c>
      <c r="C24" s="6" t="s">
        <v>50</v>
      </c>
      <c r="D24" s="6" t="s">
        <v>61</v>
      </c>
      <c r="E24" s="6" t="s">
        <v>62</v>
      </c>
      <c r="F24" s="6" t="s">
        <v>36</v>
      </c>
      <c r="G24" s="6" t="s">
        <v>22</v>
      </c>
      <c r="H24" s="7">
        <v>9066</v>
      </c>
      <c r="I24" s="7">
        <v>755.52</v>
      </c>
      <c r="J24" s="6" t="s">
        <v>65</v>
      </c>
      <c r="K24"/>
      <c r="L24" s="8"/>
    </row>
    <row r="25" spans="1:12" x14ac:dyDescent="0.25">
      <c r="A25" s="6" t="s">
        <v>9</v>
      </c>
      <c r="B25" s="6" t="s">
        <v>10</v>
      </c>
      <c r="C25" s="6" t="s">
        <v>66</v>
      </c>
      <c r="D25" s="6" t="s">
        <v>67</v>
      </c>
      <c r="E25" s="6" t="s">
        <v>68</v>
      </c>
      <c r="F25" s="6" t="s">
        <v>17</v>
      </c>
      <c r="G25" s="6" t="s">
        <v>15</v>
      </c>
      <c r="H25" s="7">
        <v>32</v>
      </c>
      <c r="I25" s="7">
        <v>5.31</v>
      </c>
      <c r="J25" s="6" t="s">
        <v>69</v>
      </c>
      <c r="K25"/>
      <c r="L25" s="8"/>
    </row>
    <row r="26" spans="1:12" x14ac:dyDescent="0.25">
      <c r="A26" s="6" t="s">
        <v>9</v>
      </c>
      <c r="B26" s="6" t="s">
        <v>10</v>
      </c>
      <c r="C26" s="6" t="s">
        <v>66</v>
      </c>
      <c r="D26" s="6" t="s">
        <v>67</v>
      </c>
      <c r="E26" s="6" t="s">
        <v>68</v>
      </c>
      <c r="F26" s="6" t="s">
        <v>19</v>
      </c>
      <c r="G26" s="6" t="s">
        <v>15</v>
      </c>
      <c r="H26" s="7">
        <v>59</v>
      </c>
      <c r="I26" s="7">
        <v>9.83</v>
      </c>
      <c r="J26" s="6" t="s">
        <v>70</v>
      </c>
      <c r="K26"/>
      <c r="L26" s="8"/>
    </row>
    <row r="27" spans="1:12" x14ac:dyDescent="0.25">
      <c r="A27" s="6" t="s">
        <v>9</v>
      </c>
      <c r="B27" s="6" t="s">
        <v>10</v>
      </c>
      <c r="C27" s="6" t="s">
        <v>66</v>
      </c>
      <c r="D27" s="6" t="s">
        <v>67</v>
      </c>
      <c r="E27" s="6" t="s">
        <v>68</v>
      </c>
      <c r="F27" s="6" t="s">
        <v>21</v>
      </c>
      <c r="G27" s="6" t="s">
        <v>22</v>
      </c>
      <c r="H27" s="7">
        <v>1709</v>
      </c>
      <c r="I27" s="7">
        <v>142.36000000000001</v>
      </c>
      <c r="J27" s="6" t="s">
        <v>71</v>
      </c>
      <c r="K27"/>
      <c r="L27" s="8"/>
    </row>
    <row r="28" spans="1:12" x14ac:dyDescent="0.25">
      <c r="A28" s="6" t="s">
        <v>9</v>
      </c>
      <c r="B28" s="6" t="s">
        <v>10</v>
      </c>
      <c r="C28" s="6" t="s">
        <v>66</v>
      </c>
      <c r="D28" s="6" t="s">
        <v>67</v>
      </c>
      <c r="E28" s="6" t="s">
        <v>68</v>
      </c>
      <c r="F28" s="6" t="s">
        <v>21</v>
      </c>
      <c r="G28" s="6" t="s">
        <v>15</v>
      </c>
      <c r="H28" s="7">
        <v>50</v>
      </c>
      <c r="I28" s="7">
        <v>8.33</v>
      </c>
      <c r="J28" s="6" t="s">
        <v>72</v>
      </c>
      <c r="K28"/>
      <c r="L28" s="8"/>
    </row>
    <row r="29" spans="1:12" x14ac:dyDescent="0.25">
      <c r="A29" s="6" t="s">
        <v>9</v>
      </c>
      <c r="B29" s="6" t="s">
        <v>10</v>
      </c>
      <c r="C29" s="6" t="s">
        <v>66</v>
      </c>
      <c r="D29" s="6" t="s">
        <v>73</v>
      </c>
      <c r="E29" s="6" t="s">
        <v>74</v>
      </c>
      <c r="F29" s="6" t="s">
        <v>30</v>
      </c>
      <c r="G29" s="6" t="s">
        <v>22</v>
      </c>
      <c r="H29" s="7">
        <v>4</v>
      </c>
      <c r="I29" s="7">
        <v>0.32</v>
      </c>
      <c r="J29" s="6" t="s">
        <v>75</v>
      </c>
      <c r="K29"/>
      <c r="L29" s="8"/>
    </row>
    <row r="30" spans="1:12" x14ac:dyDescent="0.25">
      <c r="A30" s="6" t="s">
        <v>9</v>
      </c>
      <c r="B30" s="6" t="s">
        <v>10</v>
      </c>
      <c r="C30" s="6" t="s">
        <v>66</v>
      </c>
      <c r="D30" s="6" t="s">
        <v>76</v>
      </c>
      <c r="E30" s="6" t="s">
        <v>77</v>
      </c>
      <c r="F30" s="6" t="s">
        <v>14</v>
      </c>
      <c r="G30" s="6" t="s">
        <v>15</v>
      </c>
      <c r="H30" s="7">
        <v>43</v>
      </c>
      <c r="I30" s="7">
        <v>7.16</v>
      </c>
      <c r="J30" s="6" t="s">
        <v>78</v>
      </c>
      <c r="K30"/>
      <c r="L30" s="8"/>
    </row>
    <row r="31" spans="1:12" x14ac:dyDescent="0.25">
      <c r="A31" s="6" t="s">
        <v>9</v>
      </c>
      <c r="B31" s="6" t="s">
        <v>10</v>
      </c>
      <c r="C31" s="6" t="s">
        <v>66</v>
      </c>
      <c r="D31" s="6" t="s">
        <v>76</v>
      </c>
      <c r="E31" s="6" t="s">
        <v>77</v>
      </c>
      <c r="F31" s="6" t="s">
        <v>19</v>
      </c>
      <c r="G31" s="6" t="s">
        <v>15</v>
      </c>
      <c r="H31" s="7">
        <v>59</v>
      </c>
      <c r="I31" s="7">
        <v>9.83</v>
      </c>
      <c r="J31" s="6" t="s">
        <v>79</v>
      </c>
      <c r="K31"/>
      <c r="L31" s="11"/>
    </row>
    <row r="32" spans="1:12" x14ac:dyDescent="0.25">
      <c r="A32" s="6" t="s">
        <v>9</v>
      </c>
      <c r="B32" s="6" t="s">
        <v>10</v>
      </c>
      <c r="C32" s="6" t="s">
        <v>66</v>
      </c>
      <c r="D32" s="6" t="s">
        <v>76</v>
      </c>
      <c r="E32" s="6" t="s">
        <v>77</v>
      </c>
      <c r="F32" s="6" t="s">
        <v>21</v>
      </c>
      <c r="G32" s="6" t="s">
        <v>22</v>
      </c>
      <c r="H32" s="7">
        <v>2744</v>
      </c>
      <c r="I32" s="7">
        <v>228.66</v>
      </c>
      <c r="J32" s="6" t="s">
        <v>80</v>
      </c>
      <c r="K32"/>
      <c r="L32" s="8"/>
    </row>
    <row r="33" spans="1:12" x14ac:dyDescent="0.25">
      <c r="A33" s="6" t="s">
        <v>9</v>
      </c>
      <c r="B33" s="6" t="s">
        <v>10</v>
      </c>
      <c r="C33" s="6" t="s">
        <v>66</v>
      </c>
      <c r="D33" s="6" t="s">
        <v>76</v>
      </c>
      <c r="E33" s="6" t="s">
        <v>77</v>
      </c>
      <c r="F33" s="6" t="s">
        <v>21</v>
      </c>
      <c r="G33" s="6" t="s">
        <v>15</v>
      </c>
      <c r="H33" s="7">
        <v>50</v>
      </c>
      <c r="I33" s="7">
        <v>8.33</v>
      </c>
      <c r="J33" s="6" t="s">
        <v>81</v>
      </c>
      <c r="K33"/>
      <c r="L33" s="8"/>
    </row>
    <row r="34" spans="1:12" x14ac:dyDescent="0.25">
      <c r="A34" s="6" t="s">
        <v>9</v>
      </c>
      <c r="B34" s="6" t="s">
        <v>10</v>
      </c>
      <c r="C34" s="6" t="s">
        <v>66</v>
      </c>
      <c r="D34" s="6" t="s">
        <v>82</v>
      </c>
      <c r="E34" s="6" t="s">
        <v>83</v>
      </c>
      <c r="F34" s="6" t="s">
        <v>19</v>
      </c>
      <c r="G34" s="6" t="s">
        <v>22</v>
      </c>
      <c r="H34" s="7">
        <v>2228</v>
      </c>
      <c r="I34" s="7">
        <v>185.66</v>
      </c>
      <c r="J34" s="6" t="s">
        <v>84</v>
      </c>
      <c r="K34"/>
      <c r="L34" s="8"/>
    </row>
    <row r="35" spans="1:12" x14ac:dyDescent="0.25">
      <c r="A35" s="6" t="s">
        <v>9</v>
      </c>
      <c r="B35" s="6" t="s">
        <v>10</v>
      </c>
      <c r="C35" s="6" t="s">
        <v>66</v>
      </c>
      <c r="D35" s="6" t="s">
        <v>33</v>
      </c>
      <c r="E35" s="6" t="s">
        <v>85</v>
      </c>
      <c r="F35" s="6" t="s">
        <v>21</v>
      </c>
      <c r="G35" s="6" t="s">
        <v>22</v>
      </c>
      <c r="H35" s="7">
        <v>1584</v>
      </c>
      <c r="I35" s="7">
        <v>131.99</v>
      </c>
      <c r="J35" s="6" t="s">
        <v>86</v>
      </c>
      <c r="K35"/>
      <c r="L35" s="8"/>
    </row>
    <row r="36" spans="1:12" x14ac:dyDescent="0.25">
      <c r="A36" s="6" t="s">
        <v>9</v>
      </c>
      <c r="B36" s="6" t="s">
        <v>10</v>
      </c>
      <c r="C36" s="6" t="s">
        <v>66</v>
      </c>
      <c r="D36" s="6" t="s">
        <v>46</v>
      </c>
      <c r="E36" s="6" t="s">
        <v>87</v>
      </c>
      <c r="F36" s="6" t="s">
        <v>27</v>
      </c>
      <c r="G36" s="6" t="s">
        <v>15</v>
      </c>
      <c r="H36" s="7">
        <v>99</v>
      </c>
      <c r="I36" s="7">
        <v>16.489999999999998</v>
      </c>
      <c r="J36" s="6" t="s">
        <v>88</v>
      </c>
      <c r="K36"/>
      <c r="L36" s="8"/>
    </row>
    <row r="37" spans="1:12" x14ac:dyDescent="0.25">
      <c r="A37" s="6" t="s">
        <v>9</v>
      </c>
      <c r="B37" s="6" t="s">
        <v>10</v>
      </c>
      <c r="C37" s="6" t="s">
        <v>66</v>
      </c>
      <c r="D37" s="6" t="s">
        <v>46</v>
      </c>
      <c r="E37" s="6" t="s">
        <v>87</v>
      </c>
      <c r="F37" s="6" t="s">
        <v>14</v>
      </c>
      <c r="G37" s="6" t="s">
        <v>15</v>
      </c>
      <c r="H37" s="7">
        <v>96</v>
      </c>
      <c r="I37" s="7">
        <v>15.97</v>
      </c>
      <c r="J37" s="6" t="s">
        <v>89</v>
      </c>
      <c r="K37"/>
      <c r="L37" s="8"/>
    </row>
    <row r="38" spans="1:12" x14ac:dyDescent="0.25">
      <c r="A38" s="6" t="s">
        <v>9</v>
      </c>
      <c r="B38" s="6" t="s">
        <v>10</v>
      </c>
      <c r="C38" s="6" t="s">
        <v>66</v>
      </c>
      <c r="D38" s="6" t="s">
        <v>46</v>
      </c>
      <c r="E38" s="6" t="s">
        <v>87</v>
      </c>
      <c r="F38" s="6" t="s">
        <v>17</v>
      </c>
      <c r="G38" s="6" t="s">
        <v>15</v>
      </c>
      <c r="H38" s="7">
        <v>48</v>
      </c>
      <c r="I38" s="7">
        <v>7.99</v>
      </c>
      <c r="J38" s="6" t="s">
        <v>90</v>
      </c>
      <c r="K38"/>
      <c r="L38" s="8"/>
    </row>
    <row r="39" spans="1:12" x14ac:dyDescent="0.25">
      <c r="A39" s="6" t="s">
        <v>9</v>
      </c>
      <c r="B39" s="6" t="s">
        <v>10</v>
      </c>
      <c r="C39" s="6" t="s">
        <v>66</v>
      </c>
      <c r="D39" s="6" t="s">
        <v>46</v>
      </c>
      <c r="E39" s="6" t="s">
        <v>87</v>
      </c>
      <c r="F39" s="6" t="s">
        <v>19</v>
      </c>
      <c r="G39" s="6" t="s">
        <v>15</v>
      </c>
      <c r="H39" s="7">
        <v>54</v>
      </c>
      <c r="I39" s="7">
        <v>9</v>
      </c>
      <c r="J39" s="6" t="s">
        <v>91</v>
      </c>
      <c r="K39"/>
      <c r="L39" s="8"/>
    </row>
    <row r="40" spans="1:12" x14ac:dyDescent="0.25">
      <c r="A40" s="6" t="s">
        <v>9</v>
      </c>
      <c r="B40" s="6" t="s">
        <v>10</v>
      </c>
      <c r="C40" s="6" t="s">
        <v>66</v>
      </c>
      <c r="D40" s="6" t="s">
        <v>46</v>
      </c>
      <c r="E40" s="6" t="s">
        <v>87</v>
      </c>
      <c r="F40" s="6" t="s">
        <v>21</v>
      </c>
      <c r="G40" s="6" t="s">
        <v>22</v>
      </c>
      <c r="H40" s="7">
        <v>2966</v>
      </c>
      <c r="I40" s="7">
        <v>247.12</v>
      </c>
      <c r="J40" s="6" t="s">
        <v>92</v>
      </c>
      <c r="K40"/>
      <c r="L40" s="11"/>
    </row>
    <row r="41" spans="1:12" x14ac:dyDescent="0.25">
      <c r="A41" s="6" t="s">
        <v>9</v>
      </c>
      <c r="B41" s="6" t="s">
        <v>10</v>
      </c>
      <c r="C41" s="6" t="s">
        <v>66</v>
      </c>
      <c r="D41" s="6" t="s">
        <v>93</v>
      </c>
      <c r="E41" s="6" t="s">
        <v>94</v>
      </c>
      <c r="F41" s="6" t="s">
        <v>19</v>
      </c>
      <c r="G41" s="6" t="s">
        <v>22</v>
      </c>
      <c r="H41" s="7">
        <v>259</v>
      </c>
      <c r="I41" s="7">
        <v>21.57</v>
      </c>
      <c r="J41" s="6" t="s">
        <v>95</v>
      </c>
      <c r="K41"/>
      <c r="L41" s="8"/>
    </row>
    <row r="42" spans="1:12" x14ac:dyDescent="0.25">
      <c r="A42" s="6" t="s">
        <v>9</v>
      </c>
      <c r="B42" s="6" t="s">
        <v>10</v>
      </c>
      <c r="C42" s="6" t="s">
        <v>66</v>
      </c>
      <c r="D42" s="6" t="s">
        <v>93</v>
      </c>
      <c r="E42" s="6" t="s">
        <v>94</v>
      </c>
      <c r="F42" s="6" t="s">
        <v>19</v>
      </c>
      <c r="G42" s="6" t="s">
        <v>15</v>
      </c>
      <c r="H42" s="7">
        <v>60</v>
      </c>
      <c r="I42" s="7">
        <v>10</v>
      </c>
      <c r="J42" s="6" t="s">
        <v>95</v>
      </c>
      <c r="K42"/>
      <c r="L42" s="8"/>
    </row>
    <row r="43" spans="1:12" x14ac:dyDescent="0.25">
      <c r="A43" s="6" t="s">
        <v>9</v>
      </c>
      <c r="B43" s="6" t="s">
        <v>10</v>
      </c>
      <c r="C43" s="6" t="s">
        <v>66</v>
      </c>
      <c r="D43" s="6" t="s">
        <v>93</v>
      </c>
      <c r="E43" s="6" t="s">
        <v>94</v>
      </c>
      <c r="F43" s="6" t="s">
        <v>21</v>
      </c>
      <c r="G43" s="6" t="s">
        <v>22</v>
      </c>
      <c r="H43" s="7">
        <v>2670</v>
      </c>
      <c r="I43" s="7">
        <v>222.5</v>
      </c>
      <c r="J43" s="6" t="s">
        <v>96</v>
      </c>
      <c r="K43"/>
      <c r="L43" s="8"/>
    </row>
    <row r="44" spans="1:12" x14ac:dyDescent="0.25">
      <c r="A44" s="6" t="s">
        <v>9</v>
      </c>
      <c r="B44" s="6" t="s">
        <v>10</v>
      </c>
      <c r="C44" s="6" t="s">
        <v>66</v>
      </c>
      <c r="D44" s="6" t="s">
        <v>93</v>
      </c>
      <c r="E44" s="6" t="s">
        <v>94</v>
      </c>
      <c r="F44" s="6" t="s">
        <v>21</v>
      </c>
      <c r="G44" s="6" t="s">
        <v>15</v>
      </c>
      <c r="H44" s="7">
        <v>43</v>
      </c>
      <c r="I44" s="7">
        <v>7.17</v>
      </c>
      <c r="J44" s="6" t="s">
        <v>96</v>
      </c>
      <c r="K44"/>
      <c r="L44" s="8"/>
    </row>
    <row r="45" spans="1:12" x14ac:dyDescent="0.25">
      <c r="A45" s="6" t="s">
        <v>9</v>
      </c>
      <c r="B45" s="6" t="s">
        <v>10</v>
      </c>
      <c r="C45" s="6" t="s">
        <v>97</v>
      </c>
      <c r="D45" s="6" t="s">
        <v>25</v>
      </c>
      <c r="E45" s="6" t="s">
        <v>98</v>
      </c>
      <c r="F45" s="6" t="s">
        <v>14</v>
      </c>
      <c r="G45" s="6" t="s">
        <v>22</v>
      </c>
      <c r="H45" s="7">
        <v>209</v>
      </c>
      <c r="I45" s="7">
        <v>17.420000000000002</v>
      </c>
      <c r="J45" s="6" t="s">
        <v>99</v>
      </c>
      <c r="K45"/>
      <c r="L45" s="8"/>
    </row>
    <row r="46" spans="1:12" x14ac:dyDescent="0.25">
      <c r="A46" s="6" t="s">
        <v>9</v>
      </c>
      <c r="B46" s="6" t="s">
        <v>10</v>
      </c>
      <c r="C46" s="6" t="s">
        <v>97</v>
      </c>
      <c r="D46" s="6" t="s">
        <v>25</v>
      </c>
      <c r="E46" s="6" t="s">
        <v>98</v>
      </c>
      <c r="F46" s="6" t="s">
        <v>30</v>
      </c>
      <c r="G46" s="6" t="s">
        <v>22</v>
      </c>
      <c r="H46" s="7">
        <v>1799</v>
      </c>
      <c r="I46" s="7">
        <v>149.88</v>
      </c>
      <c r="J46" s="6" t="s">
        <v>100</v>
      </c>
      <c r="K46"/>
      <c r="L46" s="8"/>
    </row>
    <row r="47" spans="1:12" x14ac:dyDescent="0.25">
      <c r="A47" s="6" t="s">
        <v>9</v>
      </c>
      <c r="B47" s="6" t="s">
        <v>10</v>
      </c>
      <c r="C47" s="6" t="s">
        <v>101</v>
      </c>
      <c r="D47" s="6" t="s">
        <v>102</v>
      </c>
      <c r="E47" s="6" t="s">
        <v>103</v>
      </c>
      <c r="F47" s="6" t="s">
        <v>104</v>
      </c>
      <c r="G47" s="6" t="s">
        <v>22</v>
      </c>
      <c r="H47" s="7">
        <v>33</v>
      </c>
      <c r="I47" s="7">
        <v>2.73</v>
      </c>
      <c r="J47" s="6" t="s">
        <v>105</v>
      </c>
      <c r="K47"/>
      <c r="L47" s="8"/>
    </row>
    <row r="48" spans="1:12" x14ac:dyDescent="0.25">
      <c r="A48" s="6" t="s">
        <v>9</v>
      </c>
      <c r="B48" s="6" t="s">
        <v>10</v>
      </c>
      <c r="C48" s="6" t="s">
        <v>106</v>
      </c>
      <c r="D48" s="6" t="s">
        <v>107</v>
      </c>
      <c r="E48" s="6" t="s">
        <v>108</v>
      </c>
      <c r="F48" s="6" t="s">
        <v>17</v>
      </c>
      <c r="G48" s="6" t="s">
        <v>22</v>
      </c>
      <c r="H48" s="7">
        <v>198</v>
      </c>
      <c r="I48" s="7">
        <v>16.48</v>
      </c>
      <c r="J48" s="6" t="s">
        <v>109</v>
      </c>
      <c r="K48"/>
      <c r="L48" s="8"/>
    </row>
    <row r="49" spans="1:12" x14ac:dyDescent="0.25">
      <c r="A49" s="6" t="s">
        <v>9</v>
      </c>
      <c r="B49" s="6" t="s">
        <v>10</v>
      </c>
      <c r="C49" s="6" t="s">
        <v>110</v>
      </c>
      <c r="D49" s="6" t="s">
        <v>111</v>
      </c>
      <c r="E49" s="6" t="s">
        <v>112</v>
      </c>
      <c r="F49" s="6" t="s">
        <v>19</v>
      </c>
      <c r="G49" s="6" t="s">
        <v>22</v>
      </c>
      <c r="H49" s="7">
        <v>3149</v>
      </c>
      <c r="I49" s="7">
        <v>262.37</v>
      </c>
      <c r="J49" s="6" t="s">
        <v>113</v>
      </c>
      <c r="K49"/>
      <c r="L49" s="8"/>
    </row>
    <row r="50" spans="1:12" x14ac:dyDescent="0.25">
      <c r="A50" s="6" t="s">
        <v>9</v>
      </c>
      <c r="B50" s="6" t="s">
        <v>10</v>
      </c>
      <c r="C50" s="6" t="s">
        <v>110</v>
      </c>
      <c r="D50" s="6" t="s">
        <v>114</v>
      </c>
      <c r="E50" s="6" t="s">
        <v>115</v>
      </c>
      <c r="F50" s="6" t="s">
        <v>19</v>
      </c>
      <c r="G50" s="6" t="s">
        <v>22</v>
      </c>
      <c r="H50" s="7">
        <v>27</v>
      </c>
      <c r="I50" s="7">
        <v>2.2400000000000002</v>
      </c>
      <c r="J50" s="6" t="s">
        <v>116</v>
      </c>
      <c r="K50"/>
      <c r="L50" s="8"/>
    </row>
    <row r="51" spans="1:12" x14ac:dyDescent="0.25">
      <c r="A51" s="6" t="s">
        <v>9</v>
      </c>
      <c r="B51" s="6" t="s">
        <v>10</v>
      </c>
      <c r="C51" s="6" t="s">
        <v>110</v>
      </c>
      <c r="D51" s="6" t="s">
        <v>25</v>
      </c>
      <c r="E51" s="6" t="s">
        <v>117</v>
      </c>
      <c r="F51" s="6" t="s">
        <v>19</v>
      </c>
      <c r="G51" s="6" t="s">
        <v>22</v>
      </c>
      <c r="H51" s="7">
        <v>3630</v>
      </c>
      <c r="I51" s="7">
        <v>302.47000000000003</v>
      </c>
      <c r="J51" s="6" t="s">
        <v>118</v>
      </c>
      <c r="K51"/>
      <c r="L51" s="8"/>
    </row>
    <row r="52" spans="1:12" x14ac:dyDescent="0.25">
      <c r="A52" s="6" t="s">
        <v>9</v>
      </c>
      <c r="B52" s="6" t="s">
        <v>10</v>
      </c>
      <c r="C52" s="6" t="s">
        <v>119</v>
      </c>
      <c r="D52" s="6" t="s">
        <v>120</v>
      </c>
      <c r="E52" s="6" t="s">
        <v>121</v>
      </c>
      <c r="F52" s="6" t="s">
        <v>122</v>
      </c>
      <c r="G52" s="6" t="s">
        <v>22</v>
      </c>
      <c r="H52" s="7">
        <v>156</v>
      </c>
      <c r="I52" s="7">
        <v>12.99</v>
      </c>
      <c r="J52" s="6" t="s">
        <v>123</v>
      </c>
      <c r="K52"/>
      <c r="L52" s="8"/>
    </row>
    <row r="53" spans="1:12" x14ac:dyDescent="0.25">
      <c r="A53" s="6" t="s">
        <v>9</v>
      </c>
      <c r="B53" s="6" t="s">
        <v>10</v>
      </c>
      <c r="C53" s="6" t="s">
        <v>119</v>
      </c>
      <c r="D53" s="6" t="s">
        <v>25</v>
      </c>
      <c r="E53" s="6" t="s">
        <v>124</v>
      </c>
      <c r="F53" s="6" t="s">
        <v>27</v>
      </c>
      <c r="G53" s="6" t="s">
        <v>15</v>
      </c>
      <c r="H53" s="7">
        <v>23</v>
      </c>
      <c r="I53" s="7">
        <v>3.83</v>
      </c>
      <c r="J53" s="6" t="s">
        <v>125</v>
      </c>
      <c r="K53"/>
      <c r="L53" s="8"/>
    </row>
    <row r="54" spans="1:12" x14ac:dyDescent="0.25">
      <c r="A54" s="6" t="s">
        <v>9</v>
      </c>
      <c r="B54" s="6" t="s">
        <v>10</v>
      </c>
      <c r="C54" s="6" t="s">
        <v>119</v>
      </c>
      <c r="D54" s="6" t="s">
        <v>126</v>
      </c>
      <c r="E54" s="6" t="s">
        <v>127</v>
      </c>
      <c r="F54" s="6" t="s">
        <v>30</v>
      </c>
      <c r="G54" s="6" t="s">
        <v>22</v>
      </c>
      <c r="H54" s="7">
        <v>404</v>
      </c>
      <c r="I54" s="7">
        <v>33.619999999999997</v>
      </c>
      <c r="J54" s="6" t="s">
        <v>128</v>
      </c>
      <c r="K54"/>
      <c r="L54" s="8"/>
    </row>
    <row r="55" spans="1:12" x14ac:dyDescent="0.25">
      <c r="A55" s="6" t="s">
        <v>9</v>
      </c>
      <c r="B55" s="6" t="s">
        <v>10</v>
      </c>
      <c r="C55" s="6" t="s">
        <v>119</v>
      </c>
      <c r="D55" s="6" t="s">
        <v>126</v>
      </c>
      <c r="E55" s="6" t="s">
        <v>127</v>
      </c>
      <c r="F55" s="6" t="s">
        <v>30</v>
      </c>
      <c r="G55" s="6" t="s">
        <v>15</v>
      </c>
      <c r="H55" s="7">
        <v>162</v>
      </c>
      <c r="I55" s="7">
        <v>26.99</v>
      </c>
      <c r="J55" s="6" t="s">
        <v>128</v>
      </c>
      <c r="K55"/>
      <c r="L55" s="8"/>
    </row>
    <row r="56" spans="1:12" x14ac:dyDescent="0.25">
      <c r="A56" s="6" t="s">
        <v>9</v>
      </c>
      <c r="B56" s="6" t="s">
        <v>10</v>
      </c>
      <c r="C56" s="6" t="s">
        <v>119</v>
      </c>
      <c r="D56" s="6" t="s">
        <v>129</v>
      </c>
      <c r="E56" s="6" t="s">
        <v>130</v>
      </c>
      <c r="F56" s="6" t="s">
        <v>17</v>
      </c>
      <c r="G56" s="6" t="s">
        <v>15</v>
      </c>
      <c r="H56" s="7">
        <v>37</v>
      </c>
      <c r="I56" s="7">
        <v>6.14</v>
      </c>
      <c r="J56" s="6" t="s">
        <v>131</v>
      </c>
      <c r="K56"/>
      <c r="L56" s="8"/>
    </row>
    <row r="57" spans="1:12" x14ac:dyDescent="0.25">
      <c r="A57" s="6" t="s">
        <v>9</v>
      </c>
      <c r="B57" s="6" t="s">
        <v>10</v>
      </c>
      <c r="C57" s="6" t="s">
        <v>119</v>
      </c>
      <c r="D57" s="6" t="s">
        <v>129</v>
      </c>
      <c r="E57" s="6" t="s">
        <v>130</v>
      </c>
      <c r="F57" s="6" t="s">
        <v>21</v>
      </c>
      <c r="G57" s="6" t="s">
        <v>22</v>
      </c>
      <c r="H57" s="7">
        <v>191</v>
      </c>
      <c r="I57" s="7">
        <v>15.9</v>
      </c>
      <c r="J57" s="6" t="s">
        <v>132</v>
      </c>
      <c r="K57"/>
      <c r="L57" s="8"/>
    </row>
    <row r="58" spans="1:12" x14ac:dyDescent="0.25">
      <c r="A58" s="6" t="s">
        <v>9</v>
      </c>
      <c r="B58" s="6" t="s">
        <v>10</v>
      </c>
      <c r="C58" s="6" t="s">
        <v>119</v>
      </c>
      <c r="D58" s="6" t="s">
        <v>129</v>
      </c>
      <c r="E58" s="6" t="s">
        <v>130</v>
      </c>
      <c r="F58" s="6" t="s">
        <v>21</v>
      </c>
      <c r="G58" s="6" t="s">
        <v>15</v>
      </c>
      <c r="H58" s="7">
        <v>43</v>
      </c>
      <c r="I58" s="7">
        <v>7.17</v>
      </c>
      <c r="J58" s="6" t="s">
        <v>132</v>
      </c>
      <c r="K58"/>
      <c r="L58" s="8"/>
    </row>
    <row r="59" spans="1:12" x14ac:dyDescent="0.25">
      <c r="A59" s="6" t="s">
        <v>9</v>
      </c>
      <c r="B59" s="6" t="s">
        <v>10</v>
      </c>
      <c r="C59" s="6" t="s">
        <v>119</v>
      </c>
      <c r="D59" s="6" t="s">
        <v>129</v>
      </c>
      <c r="E59" s="6" t="s">
        <v>130</v>
      </c>
      <c r="F59" s="6" t="s">
        <v>21</v>
      </c>
      <c r="G59" s="6" t="s">
        <v>22</v>
      </c>
      <c r="H59" s="7">
        <f>2144</f>
        <v>2144</v>
      </c>
      <c r="I59" s="7">
        <f>H59/12</f>
        <v>178.66666666666666</v>
      </c>
      <c r="J59" s="6" t="s">
        <v>133</v>
      </c>
      <c r="K59"/>
      <c r="L59" s="8"/>
    </row>
    <row r="60" spans="1:12" x14ac:dyDescent="0.25">
      <c r="A60" s="6" t="s">
        <v>9</v>
      </c>
      <c r="B60" s="6" t="s">
        <v>10</v>
      </c>
      <c r="C60" s="6" t="s">
        <v>134</v>
      </c>
      <c r="D60" s="6" t="s">
        <v>135</v>
      </c>
      <c r="E60" s="6" t="s">
        <v>136</v>
      </c>
      <c r="F60" s="6" t="s">
        <v>30</v>
      </c>
      <c r="G60" s="6" t="s">
        <v>22</v>
      </c>
      <c r="H60" s="7">
        <v>2203</v>
      </c>
      <c r="I60" s="7">
        <v>183.54</v>
      </c>
      <c r="J60" s="6" t="s">
        <v>137</v>
      </c>
      <c r="K60"/>
      <c r="L60" s="8"/>
    </row>
    <row r="61" spans="1:12" x14ac:dyDescent="0.25">
      <c r="A61" s="6" t="s">
        <v>9</v>
      </c>
      <c r="B61" s="6" t="s">
        <v>10</v>
      </c>
      <c r="C61" s="6" t="s">
        <v>134</v>
      </c>
      <c r="D61" s="6" t="s">
        <v>25</v>
      </c>
      <c r="E61" s="6" t="s">
        <v>138</v>
      </c>
      <c r="F61" s="6" t="s">
        <v>19</v>
      </c>
      <c r="G61" s="6" t="s">
        <v>22</v>
      </c>
      <c r="H61" s="7">
        <v>5149</v>
      </c>
      <c r="I61" s="7">
        <v>429.02</v>
      </c>
      <c r="J61" s="6" t="s">
        <v>139</v>
      </c>
      <c r="K61"/>
      <c r="L61" s="8"/>
    </row>
    <row r="62" spans="1:12" x14ac:dyDescent="0.25">
      <c r="A62" s="6" t="s">
        <v>9</v>
      </c>
      <c r="B62" s="6" t="s">
        <v>10</v>
      </c>
      <c r="C62" s="6" t="s">
        <v>134</v>
      </c>
      <c r="D62" s="6" t="s">
        <v>93</v>
      </c>
      <c r="E62" s="6" t="s">
        <v>140</v>
      </c>
      <c r="F62" s="6" t="s">
        <v>21</v>
      </c>
      <c r="G62" s="6" t="s">
        <v>22</v>
      </c>
      <c r="H62" s="7">
        <v>7</v>
      </c>
      <c r="I62" s="7">
        <v>0.55000000000000004</v>
      </c>
      <c r="J62" s="6" t="s">
        <v>141</v>
      </c>
      <c r="K62"/>
      <c r="L62" s="8"/>
    </row>
    <row r="63" spans="1:12" x14ac:dyDescent="0.25">
      <c r="A63" s="6" t="s">
        <v>9</v>
      </c>
      <c r="B63" s="6" t="s">
        <v>10</v>
      </c>
      <c r="C63" s="6" t="s">
        <v>134</v>
      </c>
      <c r="D63" s="6" t="s">
        <v>93</v>
      </c>
      <c r="E63" s="6" t="s">
        <v>140</v>
      </c>
      <c r="F63" s="6" t="s">
        <v>36</v>
      </c>
      <c r="G63" s="6" t="s">
        <v>22</v>
      </c>
      <c r="H63" s="7">
        <v>12890</v>
      </c>
      <c r="I63" s="7">
        <f>H63/12</f>
        <v>1074.1666666666667</v>
      </c>
      <c r="J63" s="6" t="s">
        <v>142</v>
      </c>
      <c r="K63"/>
      <c r="L63" s="11"/>
    </row>
    <row r="64" spans="1:12" x14ac:dyDescent="0.25">
      <c r="A64" s="6" t="s">
        <v>9</v>
      </c>
      <c r="B64" s="6" t="s">
        <v>10</v>
      </c>
      <c r="C64" s="6" t="s">
        <v>143</v>
      </c>
      <c r="D64" s="6" t="s">
        <v>25</v>
      </c>
      <c r="E64" s="6" t="s">
        <v>144</v>
      </c>
      <c r="F64" s="6" t="s">
        <v>21</v>
      </c>
      <c r="G64" s="6" t="s">
        <v>22</v>
      </c>
      <c r="H64" s="7">
        <v>5297</v>
      </c>
      <c r="I64" s="7">
        <v>441.34</v>
      </c>
      <c r="J64" s="6" t="s">
        <v>145</v>
      </c>
      <c r="K64"/>
      <c r="L64" s="8"/>
    </row>
    <row r="65" spans="1:12" x14ac:dyDescent="0.25">
      <c r="A65" s="6" t="s">
        <v>9</v>
      </c>
      <c r="B65" s="6" t="s">
        <v>10</v>
      </c>
      <c r="C65" s="6" t="s">
        <v>146</v>
      </c>
      <c r="D65" s="6" t="s">
        <v>25</v>
      </c>
      <c r="E65" s="6" t="s">
        <v>147</v>
      </c>
      <c r="F65" s="6" t="s">
        <v>19</v>
      </c>
      <c r="G65" s="6" t="s">
        <v>22</v>
      </c>
      <c r="H65" s="7">
        <v>841</v>
      </c>
      <c r="I65" s="7">
        <v>70.09</v>
      </c>
      <c r="J65" s="6" t="s">
        <v>148</v>
      </c>
      <c r="K65"/>
      <c r="L65" s="8"/>
    </row>
    <row r="66" spans="1:12" x14ac:dyDescent="0.25">
      <c r="A66" s="6" t="s">
        <v>9</v>
      </c>
      <c r="B66" s="6" t="s">
        <v>10</v>
      </c>
      <c r="C66" s="6" t="s">
        <v>146</v>
      </c>
      <c r="D66" s="6" t="s">
        <v>25</v>
      </c>
      <c r="E66" s="6" t="s">
        <v>147</v>
      </c>
      <c r="F66" s="6" t="s">
        <v>21</v>
      </c>
      <c r="G66" s="6" t="s">
        <v>22</v>
      </c>
      <c r="H66" s="7">
        <v>3960</v>
      </c>
      <c r="I66" s="7">
        <v>330</v>
      </c>
      <c r="J66" s="6" t="s">
        <v>149</v>
      </c>
      <c r="K66"/>
      <c r="L66" s="11"/>
    </row>
    <row r="67" spans="1:12" x14ac:dyDescent="0.25">
      <c r="A67" s="6" t="s">
        <v>9</v>
      </c>
      <c r="B67" s="6" t="s">
        <v>10</v>
      </c>
      <c r="C67" s="6" t="s">
        <v>146</v>
      </c>
      <c r="D67" s="6" t="s">
        <v>25</v>
      </c>
      <c r="E67" s="6" t="s">
        <v>147</v>
      </c>
      <c r="F67" s="6" t="s">
        <v>21</v>
      </c>
      <c r="G67" s="6" t="s">
        <v>22</v>
      </c>
      <c r="H67" s="7">
        <v>267</v>
      </c>
      <c r="I67" s="7">
        <v>22.2</v>
      </c>
      <c r="J67" s="6" t="s">
        <v>150</v>
      </c>
      <c r="K67"/>
      <c r="L67" s="8"/>
    </row>
    <row r="68" spans="1:12" x14ac:dyDescent="0.25">
      <c r="A68" s="6" t="s">
        <v>9</v>
      </c>
      <c r="B68" s="6" t="s">
        <v>10</v>
      </c>
      <c r="C68" s="6" t="s">
        <v>151</v>
      </c>
      <c r="D68" s="6" t="s">
        <v>25</v>
      </c>
      <c r="E68" s="6" t="s">
        <v>152</v>
      </c>
      <c r="F68" s="6" t="s">
        <v>19</v>
      </c>
      <c r="G68" s="6" t="s">
        <v>22</v>
      </c>
      <c r="H68" s="7">
        <v>3226</v>
      </c>
      <c r="I68" s="7">
        <v>268.72000000000003</v>
      </c>
      <c r="J68" s="6" t="s">
        <v>153</v>
      </c>
      <c r="K68"/>
      <c r="L68" s="8"/>
    </row>
    <row r="69" spans="1:12" x14ac:dyDescent="0.25">
      <c r="A69" s="6" t="s">
        <v>9</v>
      </c>
      <c r="B69" s="6" t="s">
        <v>10</v>
      </c>
      <c r="C69" s="6" t="s">
        <v>154</v>
      </c>
      <c r="D69" s="6" t="s">
        <v>155</v>
      </c>
      <c r="E69" s="6" t="s">
        <v>156</v>
      </c>
      <c r="F69" s="6" t="s">
        <v>21</v>
      </c>
      <c r="G69" s="6" t="s">
        <v>22</v>
      </c>
      <c r="H69" s="7">
        <v>163</v>
      </c>
      <c r="I69" s="7">
        <v>13.59</v>
      </c>
      <c r="J69" s="6" t="s">
        <v>157</v>
      </c>
      <c r="K69"/>
      <c r="L69" s="8"/>
    </row>
    <row r="70" spans="1:12" x14ac:dyDescent="0.25">
      <c r="A70" s="6" t="s">
        <v>9</v>
      </c>
      <c r="B70" s="6" t="s">
        <v>10</v>
      </c>
      <c r="C70" s="6" t="s">
        <v>154</v>
      </c>
      <c r="D70" s="6" t="s">
        <v>155</v>
      </c>
      <c r="E70" s="6" t="s">
        <v>156</v>
      </c>
      <c r="F70" s="6" t="s">
        <v>36</v>
      </c>
      <c r="G70" s="6" t="s">
        <v>22</v>
      </c>
      <c r="H70" s="7">
        <v>1389</v>
      </c>
      <c r="I70" s="7">
        <f>H70/12</f>
        <v>115.75</v>
      </c>
      <c r="J70" s="6" t="s">
        <v>158</v>
      </c>
      <c r="K70"/>
      <c r="L70" s="8"/>
    </row>
    <row r="71" spans="1:12" x14ac:dyDescent="0.25">
      <c r="A71" s="6" t="s">
        <v>9</v>
      </c>
      <c r="B71" s="6" t="s">
        <v>10</v>
      </c>
      <c r="C71" s="6" t="s">
        <v>159</v>
      </c>
      <c r="D71" s="6" t="s">
        <v>111</v>
      </c>
      <c r="E71" s="6" t="s">
        <v>160</v>
      </c>
      <c r="F71" s="6" t="s">
        <v>17</v>
      </c>
      <c r="G71" s="6" t="s">
        <v>22</v>
      </c>
      <c r="H71" s="7">
        <v>286</v>
      </c>
      <c r="I71" s="7">
        <v>23.83</v>
      </c>
      <c r="J71" s="6" t="s">
        <v>161</v>
      </c>
      <c r="K71"/>
      <c r="L71" s="8"/>
    </row>
    <row r="72" spans="1:12" x14ac:dyDescent="0.25">
      <c r="A72" s="6" t="s">
        <v>9</v>
      </c>
      <c r="B72" s="6" t="s">
        <v>10</v>
      </c>
      <c r="C72" s="6" t="s">
        <v>159</v>
      </c>
      <c r="D72" s="6" t="s">
        <v>25</v>
      </c>
      <c r="E72" s="6" t="s">
        <v>162</v>
      </c>
      <c r="F72" s="6" t="s">
        <v>14</v>
      </c>
      <c r="G72" s="6" t="s">
        <v>22</v>
      </c>
      <c r="H72" s="7">
        <v>392</v>
      </c>
      <c r="I72" s="7">
        <v>32.67</v>
      </c>
      <c r="J72" s="6" t="s">
        <v>99</v>
      </c>
      <c r="K72"/>
      <c r="L72" s="8"/>
    </row>
    <row r="73" spans="1:12" x14ac:dyDescent="0.25">
      <c r="A73" s="6" t="s">
        <v>9</v>
      </c>
      <c r="B73" s="6" t="s">
        <v>10</v>
      </c>
      <c r="C73" s="6" t="s">
        <v>159</v>
      </c>
      <c r="D73" s="6" t="s">
        <v>25</v>
      </c>
      <c r="E73" s="6" t="s">
        <v>162</v>
      </c>
      <c r="F73" s="6" t="s">
        <v>14</v>
      </c>
      <c r="G73" s="6" t="s">
        <v>15</v>
      </c>
      <c r="H73" s="7">
        <v>517</v>
      </c>
      <c r="I73" s="7">
        <v>86.14</v>
      </c>
      <c r="J73" s="6" t="s">
        <v>99</v>
      </c>
      <c r="K73"/>
      <c r="L73" s="8"/>
    </row>
    <row r="74" spans="1:12" x14ac:dyDescent="0.25">
      <c r="A74" s="6" t="s">
        <v>9</v>
      </c>
      <c r="B74" s="6" t="s">
        <v>10</v>
      </c>
      <c r="C74" s="6" t="s">
        <v>159</v>
      </c>
      <c r="D74" s="6" t="s">
        <v>25</v>
      </c>
      <c r="E74" s="6" t="s">
        <v>162</v>
      </c>
      <c r="F74" s="6" t="s">
        <v>17</v>
      </c>
      <c r="G74" s="6" t="s">
        <v>22</v>
      </c>
      <c r="H74" s="7">
        <v>474</v>
      </c>
      <c r="I74" s="7">
        <v>39.49</v>
      </c>
      <c r="J74" s="6" t="s">
        <v>163</v>
      </c>
      <c r="K74" s="12"/>
      <c r="L74" s="11"/>
    </row>
    <row r="75" spans="1:12" x14ac:dyDescent="0.25">
      <c r="A75" s="6" t="s">
        <v>9</v>
      </c>
      <c r="B75" s="6" t="s">
        <v>10</v>
      </c>
      <c r="C75" s="6" t="s">
        <v>159</v>
      </c>
      <c r="D75" s="6" t="s">
        <v>25</v>
      </c>
      <c r="E75" s="6" t="s">
        <v>162</v>
      </c>
      <c r="F75" s="6" t="s">
        <v>30</v>
      </c>
      <c r="G75" s="6" t="s">
        <v>22</v>
      </c>
      <c r="H75" s="7">
        <v>1307</v>
      </c>
      <c r="I75" s="7">
        <v>108.9</v>
      </c>
      <c r="J75" s="6" t="s">
        <v>164</v>
      </c>
      <c r="L75" s="11"/>
    </row>
    <row r="76" spans="1:12" x14ac:dyDescent="0.25">
      <c r="A76" s="6" t="s">
        <v>9</v>
      </c>
      <c r="B76" s="6" t="s">
        <v>10</v>
      </c>
      <c r="C76" s="6" t="s">
        <v>159</v>
      </c>
      <c r="D76" s="6" t="s">
        <v>165</v>
      </c>
      <c r="E76" s="6" t="s">
        <v>166</v>
      </c>
      <c r="F76" s="6" t="s">
        <v>19</v>
      </c>
      <c r="G76" s="6" t="s">
        <v>22</v>
      </c>
      <c r="H76" s="7">
        <v>1000</v>
      </c>
      <c r="I76" s="7">
        <v>83.32</v>
      </c>
      <c r="J76" s="6" t="s">
        <v>167</v>
      </c>
      <c r="K76" s="12"/>
      <c r="L76" s="8"/>
    </row>
    <row r="77" spans="1:12" x14ac:dyDescent="0.25">
      <c r="A77" s="6" t="s">
        <v>9</v>
      </c>
      <c r="B77" s="6" t="s">
        <v>10</v>
      </c>
      <c r="C77" s="6" t="s">
        <v>159</v>
      </c>
      <c r="D77" s="6" t="s">
        <v>165</v>
      </c>
      <c r="E77" s="6" t="s">
        <v>166</v>
      </c>
      <c r="F77" s="6" t="s">
        <v>21</v>
      </c>
      <c r="G77" s="6" t="s">
        <v>22</v>
      </c>
      <c r="H77" s="7">
        <v>2818</v>
      </c>
      <c r="I77" s="7">
        <v>234.83</v>
      </c>
      <c r="J77" s="6" t="s">
        <v>168</v>
      </c>
      <c r="K77" s="12"/>
      <c r="L77" s="8"/>
    </row>
    <row r="78" spans="1:12" x14ac:dyDescent="0.25">
      <c r="A78" s="6" t="s">
        <v>9</v>
      </c>
      <c r="B78" s="6" t="s">
        <v>10</v>
      </c>
      <c r="C78" s="6" t="s">
        <v>159</v>
      </c>
      <c r="D78" s="6" t="s">
        <v>46</v>
      </c>
      <c r="E78" s="6" t="s">
        <v>169</v>
      </c>
      <c r="F78" s="6" t="s">
        <v>21</v>
      </c>
      <c r="G78" s="6" t="s">
        <v>22</v>
      </c>
      <c r="H78" s="7">
        <v>814</v>
      </c>
      <c r="I78" s="7">
        <v>67.819999999999993</v>
      </c>
      <c r="J78" s="6" t="s">
        <v>170</v>
      </c>
      <c r="K78" s="12"/>
      <c r="L78" s="8"/>
    </row>
    <row r="79" spans="1:12" x14ac:dyDescent="0.25">
      <c r="A79" s="6" t="s">
        <v>9</v>
      </c>
      <c r="B79" s="6" t="s">
        <v>10</v>
      </c>
      <c r="C79" s="6" t="s">
        <v>159</v>
      </c>
      <c r="D79" s="6" t="s">
        <v>46</v>
      </c>
      <c r="E79" s="6" t="s">
        <v>169</v>
      </c>
      <c r="F79" s="6" t="s">
        <v>21</v>
      </c>
      <c r="G79" s="6" t="s">
        <v>15</v>
      </c>
      <c r="H79" s="7">
        <v>51</v>
      </c>
      <c r="I79" s="7">
        <v>8.67</v>
      </c>
      <c r="J79" s="6" t="s">
        <v>170</v>
      </c>
      <c r="K79" s="12"/>
      <c r="L79" s="8"/>
    </row>
    <row r="80" spans="1:12" x14ac:dyDescent="0.25">
      <c r="A80" s="6" t="s">
        <v>9</v>
      </c>
      <c r="B80" s="6" t="s">
        <v>10</v>
      </c>
      <c r="C80" s="6" t="s">
        <v>171</v>
      </c>
      <c r="D80" s="6" t="s">
        <v>172</v>
      </c>
      <c r="E80" s="6" t="s">
        <v>173</v>
      </c>
      <c r="F80" s="6" t="s">
        <v>19</v>
      </c>
      <c r="G80" s="6" t="s">
        <v>174</v>
      </c>
      <c r="H80" s="7">
        <v>9</v>
      </c>
      <c r="I80" s="7">
        <v>0.49</v>
      </c>
      <c r="J80" s="6"/>
      <c r="K80" s="12"/>
      <c r="L80" s="8"/>
    </row>
    <row r="81" spans="1:12" x14ac:dyDescent="0.25">
      <c r="A81" s="6" t="s">
        <v>9</v>
      </c>
      <c r="B81" s="6" t="s">
        <v>10</v>
      </c>
      <c r="C81" s="6" t="s">
        <v>171</v>
      </c>
      <c r="D81" s="6" t="s">
        <v>175</v>
      </c>
      <c r="E81" s="6" t="s">
        <v>176</v>
      </c>
      <c r="F81" s="6" t="s">
        <v>36</v>
      </c>
      <c r="G81" s="6" t="s">
        <v>174</v>
      </c>
      <c r="H81" s="7">
        <v>48</v>
      </c>
      <c r="I81" s="7">
        <v>2.63</v>
      </c>
      <c r="J81" s="6"/>
      <c r="K81" s="6"/>
      <c r="L81" s="8"/>
    </row>
    <row r="82" spans="1:12" x14ac:dyDescent="0.25">
      <c r="A82" s="6" t="s">
        <v>9</v>
      </c>
      <c r="B82" s="6" t="s">
        <v>10</v>
      </c>
      <c r="C82" s="6" t="s">
        <v>11</v>
      </c>
      <c r="D82" s="6" t="s">
        <v>12</v>
      </c>
      <c r="E82" s="6" t="s">
        <v>177</v>
      </c>
      <c r="F82" s="6" t="s">
        <v>21</v>
      </c>
      <c r="G82" s="6" t="s">
        <v>22</v>
      </c>
      <c r="H82" s="7">
        <v>2</v>
      </c>
      <c r="I82" s="7">
        <v>0.25</v>
      </c>
      <c r="J82" s="6"/>
      <c r="K82" s="12"/>
      <c r="L82" s="8"/>
    </row>
    <row r="83" spans="1:12" x14ac:dyDescent="0.25">
      <c r="A83" s="6" t="s">
        <v>9</v>
      </c>
      <c r="B83" s="6" t="s">
        <v>10</v>
      </c>
      <c r="C83" s="6" t="s">
        <v>11</v>
      </c>
      <c r="D83" s="6" t="s">
        <v>12</v>
      </c>
      <c r="E83" s="6" t="s">
        <v>177</v>
      </c>
      <c r="F83" s="6" t="s">
        <v>21</v>
      </c>
      <c r="G83" s="6" t="s">
        <v>178</v>
      </c>
      <c r="H83" s="7">
        <v>4</v>
      </c>
      <c r="I83" s="7">
        <v>2</v>
      </c>
      <c r="J83" s="6"/>
      <c r="K83" s="12"/>
      <c r="L83" s="8"/>
    </row>
    <row r="84" spans="1:12" x14ac:dyDescent="0.25">
      <c r="A84" s="6" t="s">
        <v>9</v>
      </c>
      <c r="B84" s="6" t="s">
        <v>10</v>
      </c>
      <c r="C84" s="6" t="s">
        <v>24</v>
      </c>
      <c r="D84" s="6" t="s">
        <v>25</v>
      </c>
      <c r="E84" s="6" t="s">
        <v>179</v>
      </c>
      <c r="F84" s="6" t="s">
        <v>21</v>
      </c>
      <c r="G84" s="6" t="s">
        <v>178</v>
      </c>
      <c r="H84" s="7">
        <v>258</v>
      </c>
      <c r="I84" s="7">
        <v>129</v>
      </c>
      <c r="J84" s="6"/>
      <c r="L84" s="8"/>
    </row>
    <row r="85" spans="1:12" x14ac:dyDescent="0.25">
      <c r="A85" s="6" t="s">
        <v>9</v>
      </c>
      <c r="B85" s="6" t="s">
        <v>10</v>
      </c>
      <c r="C85" s="6" t="s">
        <v>24</v>
      </c>
      <c r="D85" s="6" t="s">
        <v>25</v>
      </c>
      <c r="E85" s="6" t="s">
        <v>179</v>
      </c>
      <c r="F85" s="6" t="s">
        <v>21</v>
      </c>
      <c r="G85" s="6" t="s">
        <v>180</v>
      </c>
      <c r="H85" s="7">
        <v>50</v>
      </c>
      <c r="I85" s="7">
        <v>50</v>
      </c>
      <c r="J85" s="6"/>
      <c r="K85" s="12"/>
      <c r="L85" s="8"/>
    </row>
    <row r="86" spans="1:12" x14ac:dyDescent="0.25">
      <c r="A86" s="6" t="s">
        <v>9</v>
      </c>
      <c r="B86" s="6" t="s">
        <v>10</v>
      </c>
      <c r="C86" s="6" t="s">
        <v>24</v>
      </c>
      <c r="D86" s="6" t="s">
        <v>33</v>
      </c>
      <c r="E86" s="6" t="s">
        <v>181</v>
      </c>
      <c r="F86" s="6" t="s">
        <v>21</v>
      </c>
      <c r="G86" s="6" t="s">
        <v>22</v>
      </c>
      <c r="H86" s="7">
        <v>3</v>
      </c>
      <c r="I86" s="7">
        <v>0.48</v>
      </c>
      <c r="J86" s="6"/>
      <c r="K86" s="12"/>
      <c r="L86" s="8"/>
    </row>
    <row r="87" spans="1:12" x14ac:dyDescent="0.25">
      <c r="A87" s="6" t="s">
        <v>9</v>
      </c>
      <c r="B87" s="6" t="s">
        <v>10</v>
      </c>
      <c r="C87" s="6" t="s">
        <v>24</v>
      </c>
      <c r="D87" s="6" t="s">
        <v>33</v>
      </c>
      <c r="E87" s="6" t="s">
        <v>181</v>
      </c>
      <c r="F87" s="6" t="s">
        <v>21</v>
      </c>
      <c r="G87" s="6" t="s">
        <v>178</v>
      </c>
      <c r="H87" s="7">
        <v>32</v>
      </c>
      <c r="I87" s="7">
        <v>16</v>
      </c>
      <c r="J87" s="6"/>
    </row>
    <row r="88" spans="1:12" x14ac:dyDescent="0.25">
      <c r="A88" s="6" t="s">
        <v>9</v>
      </c>
      <c r="B88" s="6" t="s">
        <v>10</v>
      </c>
      <c r="C88" s="6" t="s">
        <v>39</v>
      </c>
      <c r="D88" s="6" t="s">
        <v>40</v>
      </c>
      <c r="E88" s="6" t="s">
        <v>182</v>
      </c>
      <c r="F88" s="6" t="s">
        <v>21</v>
      </c>
      <c r="G88" s="6" t="s">
        <v>178</v>
      </c>
      <c r="H88" s="7">
        <v>1</v>
      </c>
      <c r="I88" s="7">
        <v>13</v>
      </c>
      <c r="J88" s="6"/>
    </row>
    <row r="89" spans="1:12" x14ac:dyDescent="0.25">
      <c r="A89" s="6" t="s">
        <v>9</v>
      </c>
      <c r="B89" s="6" t="s">
        <v>10</v>
      </c>
      <c r="C89" s="6" t="s">
        <v>39</v>
      </c>
      <c r="D89" s="6" t="s">
        <v>46</v>
      </c>
      <c r="E89" s="6" t="s">
        <v>183</v>
      </c>
      <c r="F89" s="6" t="s">
        <v>19</v>
      </c>
      <c r="G89" s="6" t="s">
        <v>22</v>
      </c>
      <c r="H89" s="7">
        <v>1</v>
      </c>
      <c r="I89" s="7">
        <v>0.19</v>
      </c>
    </row>
    <row r="90" spans="1:12" x14ac:dyDescent="0.25">
      <c r="A90" s="6" t="s">
        <v>9</v>
      </c>
      <c r="B90" s="6" t="s">
        <v>10</v>
      </c>
      <c r="C90" s="6" t="s">
        <v>50</v>
      </c>
      <c r="D90" s="6" t="s">
        <v>51</v>
      </c>
      <c r="E90" s="6" t="s">
        <v>184</v>
      </c>
      <c r="F90" s="6" t="s">
        <v>19</v>
      </c>
      <c r="G90" s="6" t="s">
        <v>22</v>
      </c>
      <c r="H90" s="7">
        <v>2</v>
      </c>
      <c r="I90" s="7">
        <v>0.28000000000000003</v>
      </c>
    </row>
    <row r="91" spans="1:12" x14ac:dyDescent="0.25">
      <c r="A91" s="6" t="s">
        <v>9</v>
      </c>
      <c r="B91" s="6" t="s">
        <v>10</v>
      </c>
      <c r="C91" s="6" t="s">
        <v>50</v>
      </c>
      <c r="D91" s="6" t="s">
        <v>51</v>
      </c>
      <c r="E91" s="6" t="s">
        <v>184</v>
      </c>
      <c r="F91" s="6" t="s">
        <v>21</v>
      </c>
      <c r="G91" s="6" t="s">
        <v>22</v>
      </c>
      <c r="H91" s="7">
        <v>1</v>
      </c>
      <c r="I91" s="7">
        <v>0.18</v>
      </c>
    </row>
    <row r="92" spans="1:12" x14ac:dyDescent="0.25">
      <c r="A92" s="6" t="s">
        <v>9</v>
      </c>
      <c r="B92" s="6" t="s">
        <v>10</v>
      </c>
      <c r="C92" s="6" t="s">
        <v>50</v>
      </c>
      <c r="D92" s="6" t="s">
        <v>25</v>
      </c>
      <c r="E92" s="6" t="s">
        <v>185</v>
      </c>
      <c r="F92" s="6" t="s">
        <v>21</v>
      </c>
      <c r="G92" s="6" t="s">
        <v>22</v>
      </c>
      <c r="H92" s="7">
        <v>2</v>
      </c>
      <c r="I92" s="7">
        <v>0.3</v>
      </c>
    </row>
    <row r="93" spans="1:12" x14ac:dyDescent="0.25">
      <c r="A93" s="6" t="s">
        <v>9</v>
      </c>
      <c r="B93" s="6" t="s">
        <v>10</v>
      </c>
      <c r="C93" s="6" t="s">
        <v>50</v>
      </c>
      <c r="D93" s="6" t="s">
        <v>25</v>
      </c>
      <c r="E93" s="6" t="s">
        <v>185</v>
      </c>
      <c r="F93" s="6" t="s">
        <v>21</v>
      </c>
      <c r="G93" s="6" t="s">
        <v>178</v>
      </c>
      <c r="H93" s="7">
        <v>8</v>
      </c>
      <c r="I93" s="7">
        <v>4</v>
      </c>
    </row>
    <row r="94" spans="1:12" x14ac:dyDescent="0.25">
      <c r="A94" s="6" t="s">
        <v>9</v>
      </c>
      <c r="B94" s="6" t="s">
        <v>10</v>
      </c>
      <c r="C94" s="6" t="s">
        <v>50</v>
      </c>
      <c r="D94" s="6" t="s">
        <v>25</v>
      </c>
      <c r="E94" s="6" t="s">
        <v>185</v>
      </c>
      <c r="F94" s="6" t="s">
        <v>21</v>
      </c>
      <c r="G94" s="6" t="s">
        <v>180</v>
      </c>
      <c r="H94" s="7">
        <v>28</v>
      </c>
      <c r="I94" s="7">
        <v>28</v>
      </c>
    </row>
    <row r="95" spans="1:12" x14ac:dyDescent="0.25">
      <c r="A95" s="6" t="s">
        <v>9</v>
      </c>
      <c r="B95" s="6" t="s">
        <v>10</v>
      </c>
      <c r="C95" s="6" t="s">
        <v>50</v>
      </c>
      <c r="D95" s="6" t="s">
        <v>57</v>
      </c>
      <c r="E95" s="6" t="s">
        <v>186</v>
      </c>
      <c r="F95" s="6" t="s">
        <v>21</v>
      </c>
      <c r="G95" s="6" t="s">
        <v>22</v>
      </c>
      <c r="H95" s="7">
        <v>2</v>
      </c>
      <c r="I95" s="7">
        <v>0.26</v>
      </c>
    </row>
    <row r="96" spans="1:12" x14ac:dyDescent="0.25">
      <c r="A96" s="6" t="s">
        <v>9</v>
      </c>
      <c r="B96" s="6" t="s">
        <v>10</v>
      </c>
      <c r="C96" s="6" t="s">
        <v>50</v>
      </c>
      <c r="D96" s="6" t="s">
        <v>57</v>
      </c>
      <c r="E96" s="6" t="s">
        <v>186</v>
      </c>
      <c r="F96" s="6" t="s">
        <v>21</v>
      </c>
      <c r="G96" s="6" t="s">
        <v>178</v>
      </c>
      <c r="H96" s="7">
        <v>4</v>
      </c>
      <c r="I96" s="7">
        <v>2</v>
      </c>
    </row>
    <row r="97" spans="1:9" x14ac:dyDescent="0.25">
      <c r="A97" s="6" t="s">
        <v>9</v>
      </c>
      <c r="B97" s="6" t="s">
        <v>10</v>
      </c>
      <c r="C97" s="6" t="s">
        <v>50</v>
      </c>
      <c r="D97" s="6" t="s">
        <v>61</v>
      </c>
      <c r="E97" s="6" t="s">
        <v>187</v>
      </c>
      <c r="F97" s="6" t="s">
        <v>21</v>
      </c>
      <c r="G97" s="6" t="s">
        <v>178</v>
      </c>
      <c r="H97" s="7">
        <v>3</v>
      </c>
      <c r="I97" s="7">
        <v>1.5</v>
      </c>
    </row>
    <row r="98" spans="1:9" x14ac:dyDescent="0.25">
      <c r="A98" s="6" t="s">
        <v>9</v>
      </c>
      <c r="B98" s="6" t="s">
        <v>10</v>
      </c>
      <c r="C98" s="6" t="s">
        <v>66</v>
      </c>
      <c r="D98" s="6" t="s">
        <v>67</v>
      </c>
      <c r="E98" s="6" t="s">
        <v>188</v>
      </c>
      <c r="F98" s="6" t="s">
        <v>21</v>
      </c>
      <c r="G98" s="6" t="s">
        <v>178</v>
      </c>
      <c r="H98" s="7">
        <v>7</v>
      </c>
      <c r="I98" s="7">
        <v>3.5</v>
      </c>
    </row>
    <row r="99" spans="1:9" x14ac:dyDescent="0.25">
      <c r="A99" s="6" t="s">
        <v>9</v>
      </c>
      <c r="B99" s="6" t="s">
        <v>10</v>
      </c>
      <c r="C99" s="6" t="s">
        <v>66</v>
      </c>
      <c r="D99" s="6" t="s">
        <v>25</v>
      </c>
      <c r="E99" s="6" t="s">
        <v>189</v>
      </c>
      <c r="F99" s="6" t="s">
        <v>30</v>
      </c>
      <c r="G99" s="6" t="s">
        <v>178</v>
      </c>
      <c r="H99" s="7">
        <v>15</v>
      </c>
      <c r="I99" s="7">
        <v>7.5</v>
      </c>
    </row>
    <row r="100" spans="1:9" x14ac:dyDescent="0.25">
      <c r="A100" s="6" t="s">
        <v>9</v>
      </c>
      <c r="B100" s="6" t="s">
        <v>10</v>
      </c>
      <c r="C100" s="6" t="s">
        <v>66</v>
      </c>
      <c r="D100" s="6" t="s">
        <v>73</v>
      </c>
      <c r="E100" s="6" t="s">
        <v>190</v>
      </c>
      <c r="F100" s="6" t="s">
        <v>30</v>
      </c>
      <c r="G100" s="6" t="s">
        <v>178</v>
      </c>
      <c r="H100" s="7">
        <v>15</v>
      </c>
      <c r="I100" s="7">
        <v>7.5</v>
      </c>
    </row>
    <row r="101" spans="1:9" x14ac:dyDescent="0.25">
      <c r="A101" s="6" t="s">
        <v>9</v>
      </c>
      <c r="B101" s="6" t="s">
        <v>10</v>
      </c>
      <c r="C101" s="6" t="s">
        <v>66</v>
      </c>
      <c r="D101" s="6" t="s">
        <v>76</v>
      </c>
      <c r="E101" s="6" t="s">
        <v>191</v>
      </c>
      <c r="F101" s="6" t="s">
        <v>21</v>
      </c>
      <c r="G101" s="6" t="s">
        <v>178</v>
      </c>
      <c r="H101" s="7">
        <v>40</v>
      </c>
      <c r="I101" s="7">
        <v>20</v>
      </c>
    </row>
    <row r="102" spans="1:9" x14ac:dyDescent="0.25">
      <c r="A102" s="6" t="s">
        <v>9</v>
      </c>
      <c r="B102" s="6" t="s">
        <v>10</v>
      </c>
      <c r="C102" s="6" t="s">
        <v>66</v>
      </c>
      <c r="D102" s="6" t="s">
        <v>82</v>
      </c>
      <c r="E102" s="6" t="s">
        <v>192</v>
      </c>
      <c r="F102" s="6" t="s">
        <v>17</v>
      </c>
      <c r="G102" s="6" t="s">
        <v>22</v>
      </c>
      <c r="H102" s="7">
        <v>1</v>
      </c>
      <c r="I102" s="7">
        <v>0.12</v>
      </c>
    </row>
    <row r="103" spans="1:9" x14ac:dyDescent="0.25">
      <c r="A103" s="6" t="s">
        <v>9</v>
      </c>
      <c r="B103" s="6" t="s">
        <v>10</v>
      </c>
      <c r="C103" s="6" t="s">
        <v>66</v>
      </c>
      <c r="D103" s="6" t="s">
        <v>82</v>
      </c>
      <c r="E103" s="6" t="s">
        <v>192</v>
      </c>
      <c r="F103" s="6" t="s">
        <v>17</v>
      </c>
      <c r="G103" s="6" t="s">
        <v>178</v>
      </c>
      <c r="H103" s="7">
        <v>3</v>
      </c>
      <c r="I103" s="7">
        <v>1.5</v>
      </c>
    </row>
    <row r="104" spans="1:9" x14ac:dyDescent="0.25">
      <c r="A104" s="6" t="s">
        <v>9</v>
      </c>
      <c r="B104" s="6" t="s">
        <v>10</v>
      </c>
      <c r="C104" s="6" t="s">
        <v>66</v>
      </c>
      <c r="D104" s="6" t="s">
        <v>33</v>
      </c>
      <c r="E104" s="6" t="s">
        <v>193</v>
      </c>
      <c r="F104" s="6" t="s">
        <v>21</v>
      </c>
      <c r="G104" s="6" t="s">
        <v>22</v>
      </c>
      <c r="H104" s="7">
        <v>2</v>
      </c>
      <c r="I104" s="7">
        <v>0.2</v>
      </c>
    </row>
    <row r="105" spans="1:9" x14ac:dyDescent="0.25">
      <c r="A105" s="6" t="s">
        <v>9</v>
      </c>
      <c r="B105" s="6" t="s">
        <v>10</v>
      </c>
      <c r="C105" s="6" t="s">
        <v>66</v>
      </c>
      <c r="D105" s="6" t="s">
        <v>46</v>
      </c>
      <c r="E105" s="6" t="s">
        <v>194</v>
      </c>
      <c r="F105" s="6" t="s">
        <v>21</v>
      </c>
      <c r="G105" s="6" t="s">
        <v>22</v>
      </c>
      <c r="H105" s="7">
        <v>2</v>
      </c>
      <c r="I105" s="7">
        <v>0.26</v>
      </c>
    </row>
    <row r="106" spans="1:9" x14ac:dyDescent="0.25">
      <c r="A106" s="6" t="s">
        <v>9</v>
      </c>
      <c r="B106" s="6" t="s">
        <v>10</v>
      </c>
      <c r="C106" s="6" t="s">
        <v>66</v>
      </c>
      <c r="D106" s="6" t="s">
        <v>46</v>
      </c>
      <c r="E106" s="6" t="s">
        <v>194</v>
      </c>
      <c r="F106" s="6" t="s">
        <v>21</v>
      </c>
      <c r="G106" s="6" t="s">
        <v>178</v>
      </c>
      <c r="H106" s="7">
        <v>6</v>
      </c>
      <c r="I106" s="7">
        <v>3</v>
      </c>
    </row>
    <row r="107" spans="1:9" x14ac:dyDescent="0.25">
      <c r="A107" s="6" t="s">
        <v>9</v>
      </c>
      <c r="B107" s="6" t="s">
        <v>10</v>
      </c>
      <c r="C107" s="6" t="s">
        <v>66</v>
      </c>
      <c r="D107" s="6" t="s">
        <v>93</v>
      </c>
      <c r="E107" s="6" t="s">
        <v>195</v>
      </c>
      <c r="F107" s="6" t="s">
        <v>19</v>
      </c>
      <c r="G107" s="6" t="s">
        <v>22</v>
      </c>
      <c r="H107" s="7">
        <v>2</v>
      </c>
      <c r="I107" s="7">
        <v>0.25</v>
      </c>
    </row>
    <row r="108" spans="1:9" x14ac:dyDescent="0.25">
      <c r="A108" s="6" t="s">
        <v>9</v>
      </c>
      <c r="B108" s="6" t="s">
        <v>10</v>
      </c>
      <c r="C108" s="6" t="s">
        <v>66</v>
      </c>
      <c r="D108" s="6" t="s">
        <v>93</v>
      </c>
      <c r="E108" s="6" t="s">
        <v>195</v>
      </c>
      <c r="F108" s="6" t="s">
        <v>19</v>
      </c>
      <c r="G108" s="6" t="s">
        <v>178</v>
      </c>
      <c r="H108" s="7">
        <v>3</v>
      </c>
      <c r="I108" s="7">
        <v>1.5</v>
      </c>
    </row>
    <row r="109" spans="1:9" x14ac:dyDescent="0.25">
      <c r="A109" s="6" t="s">
        <v>9</v>
      </c>
      <c r="B109" s="6" t="s">
        <v>10</v>
      </c>
      <c r="C109" s="6" t="s">
        <v>97</v>
      </c>
      <c r="D109" s="6" t="s">
        <v>25</v>
      </c>
      <c r="E109" s="6" t="s">
        <v>196</v>
      </c>
      <c r="F109" s="6" t="s">
        <v>30</v>
      </c>
      <c r="G109" s="6" t="s">
        <v>178</v>
      </c>
      <c r="H109" s="7">
        <v>75</v>
      </c>
      <c r="I109" s="7">
        <v>37.5</v>
      </c>
    </row>
    <row r="110" spans="1:9" x14ac:dyDescent="0.25">
      <c r="A110" s="6" t="s">
        <v>9</v>
      </c>
      <c r="B110" s="6" t="s">
        <v>10</v>
      </c>
      <c r="C110" s="6" t="s">
        <v>106</v>
      </c>
      <c r="D110" s="6" t="s">
        <v>107</v>
      </c>
      <c r="E110" s="6" t="s">
        <v>197</v>
      </c>
      <c r="F110" s="6" t="s">
        <v>17</v>
      </c>
      <c r="G110" s="6" t="s">
        <v>22</v>
      </c>
      <c r="H110" s="7">
        <v>1</v>
      </c>
      <c r="I110" s="7">
        <v>0.52</v>
      </c>
    </row>
    <row r="111" spans="1:9" x14ac:dyDescent="0.25">
      <c r="A111" s="6" t="s">
        <v>9</v>
      </c>
      <c r="B111" s="6" t="s">
        <v>10</v>
      </c>
      <c r="C111" s="6" t="s">
        <v>106</v>
      </c>
      <c r="D111" s="6" t="s">
        <v>107</v>
      </c>
      <c r="E111" s="6" t="s">
        <v>197</v>
      </c>
      <c r="F111" s="6" t="s">
        <v>17</v>
      </c>
      <c r="G111" s="6" t="s">
        <v>178</v>
      </c>
      <c r="H111" s="7">
        <v>32</v>
      </c>
      <c r="I111" s="7">
        <v>16</v>
      </c>
    </row>
    <row r="112" spans="1:9" x14ac:dyDescent="0.25">
      <c r="A112" s="6" t="s">
        <v>9</v>
      </c>
      <c r="B112" s="6" t="s">
        <v>10</v>
      </c>
      <c r="C112" s="6" t="s">
        <v>106</v>
      </c>
      <c r="D112" s="6" t="s">
        <v>107</v>
      </c>
      <c r="E112" s="6" t="s">
        <v>197</v>
      </c>
      <c r="F112" s="6" t="s">
        <v>30</v>
      </c>
      <c r="G112" s="6" t="s">
        <v>178</v>
      </c>
      <c r="H112" s="7">
        <v>12</v>
      </c>
      <c r="I112" s="7">
        <v>6</v>
      </c>
    </row>
    <row r="113" spans="1:9" x14ac:dyDescent="0.25">
      <c r="A113" s="6" t="s">
        <v>9</v>
      </c>
      <c r="B113" s="6" t="s">
        <v>10</v>
      </c>
      <c r="C113" s="6" t="s">
        <v>110</v>
      </c>
      <c r="D113" s="6" t="s">
        <v>111</v>
      </c>
      <c r="E113" s="6" t="s">
        <v>198</v>
      </c>
      <c r="F113" s="6" t="s">
        <v>30</v>
      </c>
      <c r="G113" s="6" t="s">
        <v>22</v>
      </c>
      <c r="H113" s="7">
        <v>2</v>
      </c>
      <c r="I113" s="7">
        <v>0.44</v>
      </c>
    </row>
    <row r="114" spans="1:9" x14ac:dyDescent="0.25">
      <c r="A114" s="6" t="s">
        <v>9</v>
      </c>
      <c r="B114" s="6" t="s">
        <v>10</v>
      </c>
      <c r="C114" s="6" t="s">
        <v>110</v>
      </c>
      <c r="D114" s="6" t="s">
        <v>111</v>
      </c>
      <c r="E114" s="6" t="s">
        <v>198</v>
      </c>
      <c r="F114" s="6" t="s">
        <v>30</v>
      </c>
      <c r="G114" s="6" t="s">
        <v>178</v>
      </c>
      <c r="H114" s="7">
        <v>52</v>
      </c>
      <c r="I114" s="7">
        <v>33.5</v>
      </c>
    </row>
    <row r="115" spans="1:9" x14ac:dyDescent="0.25">
      <c r="A115" s="6" t="s">
        <v>9</v>
      </c>
      <c r="B115" s="6" t="s">
        <v>10</v>
      </c>
      <c r="C115" s="6" t="s">
        <v>110</v>
      </c>
      <c r="D115" s="6" t="s">
        <v>111</v>
      </c>
      <c r="E115" s="6" t="s">
        <v>198</v>
      </c>
      <c r="F115" s="6" t="s">
        <v>19</v>
      </c>
      <c r="G115" s="6" t="s">
        <v>22</v>
      </c>
      <c r="H115" s="7">
        <v>2</v>
      </c>
      <c r="I115" s="7">
        <v>0.23</v>
      </c>
    </row>
    <row r="116" spans="1:9" x14ac:dyDescent="0.25">
      <c r="A116" s="6" t="s">
        <v>9</v>
      </c>
      <c r="B116" s="6" t="s">
        <v>10</v>
      </c>
      <c r="C116" s="6" t="s">
        <v>110</v>
      </c>
      <c r="D116" s="6" t="s">
        <v>111</v>
      </c>
      <c r="E116" s="6" t="s">
        <v>198</v>
      </c>
      <c r="F116" s="6" t="s">
        <v>19</v>
      </c>
      <c r="G116" s="6" t="s">
        <v>178</v>
      </c>
      <c r="H116" s="7">
        <v>10</v>
      </c>
      <c r="I116" s="7">
        <v>5</v>
      </c>
    </row>
    <row r="117" spans="1:9" x14ac:dyDescent="0.25">
      <c r="A117" s="6" t="s">
        <v>9</v>
      </c>
      <c r="B117" s="6" t="s">
        <v>10</v>
      </c>
      <c r="C117" s="6" t="s">
        <v>110</v>
      </c>
      <c r="D117" s="6" t="s">
        <v>25</v>
      </c>
      <c r="E117" s="6" t="s">
        <v>199</v>
      </c>
      <c r="F117" s="6" t="s">
        <v>19</v>
      </c>
      <c r="G117" s="6" t="s">
        <v>178</v>
      </c>
      <c r="H117" s="7">
        <v>26</v>
      </c>
      <c r="I117" s="7">
        <v>13</v>
      </c>
    </row>
    <row r="118" spans="1:9" x14ac:dyDescent="0.25">
      <c r="A118" s="6" t="s">
        <v>9</v>
      </c>
      <c r="B118" s="6" t="s">
        <v>10</v>
      </c>
      <c r="C118" s="6" t="s">
        <v>119</v>
      </c>
      <c r="D118" s="6" t="s">
        <v>25</v>
      </c>
      <c r="E118" s="6" t="s">
        <v>200</v>
      </c>
      <c r="F118" s="6" t="s">
        <v>17</v>
      </c>
      <c r="G118" s="6" t="s">
        <v>178</v>
      </c>
      <c r="H118" s="7">
        <v>68</v>
      </c>
      <c r="I118" s="7">
        <v>34</v>
      </c>
    </row>
    <row r="119" spans="1:9" x14ac:dyDescent="0.25">
      <c r="A119" s="6" t="s">
        <v>9</v>
      </c>
      <c r="B119" s="6" t="s">
        <v>10</v>
      </c>
      <c r="C119" s="6" t="s">
        <v>119</v>
      </c>
      <c r="D119" s="6" t="s">
        <v>126</v>
      </c>
      <c r="E119" s="6" t="s">
        <v>201</v>
      </c>
      <c r="F119" s="6" t="s">
        <v>30</v>
      </c>
      <c r="G119" s="6" t="s">
        <v>22</v>
      </c>
      <c r="H119" s="7">
        <v>2</v>
      </c>
      <c r="I119" s="7">
        <v>0.28999999999999998</v>
      </c>
    </row>
    <row r="120" spans="1:9" x14ac:dyDescent="0.25">
      <c r="A120" s="6" t="s">
        <v>9</v>
      </c>
      <c r="B120" s="6" t="s">
        <v>10</v>
      </c>
      <c r="C120" s="6" t="s">
        <v>119</v>
      </c>
      <c r="D120" s="6" t="s">
        <v>126</v>
      </c>
      <c r="E120" s="6" t="s">
        <v>201</v>
      </c>
      <c r="F120" s="6" t="s">
        <v>30</v>
      </c>
      <c r="G120" s="6" t="s">
        <v>178</v>
      </c>
      <c r="H120" s="7">
        <v>5</v>
      </c>
      <c r="I120" s="7">
        <v>2.5</v>
      </c>
    </row>
    <row r="121" spans="1:9" x14ac:dyDescent="0.25">
      <c r="A121" s="6" t="s">
        <v>9</v>
      </c>
      <c r="B121" s="6" t="s">
        <v>10</v>
      </c>
      <c r="C121" s="6" t="s">
        <v>119</v>
      </c>
      <c r="D121" s="6" t="s">
        <v>129</v>
      </c>
      <c r="E121" s="6" t="s">
        <v>202</v>
      </c>
      <c r="F121" s="6" t="s">
        <v>19</v>
      </c>
      <c r="G121" s="6" t="s">
        <v>22</v>
      </c>
      <c r="H121" s="7">
        <v>2</v>
      </c>
      <c r="I121" s="7">
        <v>0.19</v>
      </c>
    </row>
    <row r="122" spans="1:9" x14ac:dyDescent="0.25">
      <c r="A122" s="6" t="s">
        <v>9</v>
      </c>
      <c r="B122" s="6" t="s">
        <v>10</v>
      </c>
      <c r="C122" s="6" t="s">
        <v>119</v>
      </c>
      <c r="D122" s="6" t="s">
        <v>129</v>
      </c>
      <c r="E122" s="6" t="s">
        <v>202</v>
      </c>
      <c r="F122" s="6" t="s">
        <v>19</v>
      </c>
      <c r="G122" s="6" t="s">
        <v>178</v>
      </c>
      <c r="H122" s="7">
        <v>43</v>
      </c>
      <c r="I122" s="7">
        <v>21.5</v>
      </c>
    </row>
    <row r="123" spans="1:9" x14ac:dyDescent="0.25">
      <c r="A123" s="6" t="s">
        <v>9</v>
      </c>
      <c r="B123" s="6" t="s">
        <v>10</v>
      </c>
      <c r="C123" s="6" t="s">
        <v>134</v>
      </c>
      <c r="D123" s="6" t="s">
        <v>135</v>
      </c>
      <c r="E123" s="6" t="s">
        <v>203</v>
      </c>
      <c r="F123" s="6" t="s">
        <v>19</v>
      </c>
      <c r="G123" s="6" t="s">
        <v>178</v>
      </c>
      <c r="H123" s="7">
        <v>14</v>
      </c>
      <c r="I123" s="7">
        <v>7</v>
      </c>
    </row>
    <row r="124" spans="1:9" x14ac:dyDescent="0.25">
      <c r="A124" s="6" t="s">
        <v>9</v>
      </c>
      <c r="B124" s="6" t="s">
        <v>10</v>
      </c>
      <c r="C124" s="6" t="s">
        <v>134</v>
      </c>
      <c r="D124" s="6" t="s">
        <v>25</v>
      </c>
      <c r="E124" s="6" t="s">
        <v>204</v>
      </c>
      <c r="F124" s="6" t="s">
        <v>21</v>
      </c>
      <c r="G124" s="6" t="s">
        <v>178</v>
      </c>
      <c r="H124" s="7">
        <v>4</v>
      </c>
      <c r="I124" s="7">
        <v>2</v>
      </c>
    </row>
    <row r="125" spans="1:9" x14ac:dyDescent="0.25">
      <c r="A125" s="6" t="s">
        <v>9</v>
      </c>
      <c r="B125" s="6" t="s">
        <v>10</v>
      </c>
      <c r="C125" s="6" t="s">
        <v>134</v>
      </c>
      <c r="D125" s="6" t="s">
        <v>93</v>
      </c>
      <c r="E125" s="6" t="s">
        <v>205</v>
      </c>
      <c r="F125" s="6" t="s">
        <v>21</v>
      </c>
      <c r="G125" s="6" t="s">
        <v>22</v>
      </c>
      <c r="H125" s="7">
        <v>1</v>
      </c>
      <c r="I125" s="7">
        <v>0.26</v>
      </c>
    </row>
    <row r="126" spans="1:9" x14ac:dyDescent="0.25">
      <c r="A126" s="6" t="s">
        <v>9</v>
      </c>
      <c r="B126" s="6" t="s">
        <v>10</v>
      </c>
      <c r="C126" s="6" t="s">
        <v>134</v>
      </c>
      <c r="D126" s="6" t="s">
        <v>93</v>
      </c>
      <c r="E126" s="6" t="s">
        <v>205</v>
      </c>
      <c r="F126" s="6" t="s">
        <v>21</v>
      </c>
      <c r="G126" s="6" t="s">
        <v>180</v>
      </c>
      <c r="H126" s="7">
        <v>45</v>
      </c>
      <c r="I126" s="7">
        <v>45</v>
      </c>
    </row>
    <row r="127" spans="1:9" x14ac:dyDescent="0.25">
      <c r="A127" s="6" t="s">
        <v>9</v>
      </c>
      <c r="B127" s="6" t="s">
        <v>10</v>
      </c>
      <c r="C127" s="6" t="s">
        <v>143</v>
      </c>
      <c r="D127" s="6" t="s">
        <v>25</v>
      </c>
      <c r="E127" s="6" t="s">
        <v>206</v>
      </c>
      <c r="F127" s="6" t="s">
        <v>21</v>
      </c>
      <c r="G127" s="6" t="s">
        <v>178</v>
      </c>
      <c r="H127" s="7">
        <v>25</v>
      </c>
      <c r="I127" s="7">
        <v>12.5</v>
      </c>
    </row>
    <row r="128" spans="1:9" x14ac:dyDescent="0.25">
      <c r="A128" s="6" t="s">
        <v>9</v>
      </c>
      <c r="B128" s="6" t="s">
        <v>10</v>
      </c>
      <c r="C128" s="6" t="s">
        <v>146</v>
      </c>
      <c r="D128" s="6" t="s">
        <v>25</v>
      </c>
      <c r="E128" s="6" t="s">
        <v>207</v>
      </c>
      <c r="F128" s="6" t="s">
        <v>21</v>
      </c>
      <c r="G128" s="6" t="s">
        <v>22</v>
      </c>
      <c r="H128" s="7">
        <v>1</v>
      </c>
      <c r="I128" s="7">
        <v>0.18</v>
      </c>
    </row>
    <row r="129" spans="1:9" x14ac:dyDescent="0.25">
      <c r="A129" s="6" t="s">
        <v>9</v>
      </c>
      <c r="B129" s="6" t="s">
        <v>10</v>
      </c>
      <c r="C129" s="6" t="s">
        <v>146</v>
      </c>
      <c r="D129" s="6" t="s">
        <v>25</v>
      </c>
      <c r="E129" s="6" t="s">
        <v>207</v>
      </c>
      <c r="F129" s="6" t="s">
        <v>21</v>
      </c>
      <c r="G129" s="6" t="s">
        <v>178</v>
      </c>
      <c r="H129" s="7">
        <v>173</v>
      </c>
      <c r="I129" s="7">
        <v>86.5</v>
      </c>
    </row>
    <row r="130" spans="1:9" x14ac:dyDescent="0.25">
      <c r="A130" s="6" t="s">
        <v>9</v>
      </c>
      <c r="B130" s="6" t="s">
        <v>10</v>
      </c>
      <c r="C130" s="6" t="s">
        <v>146</v>
      </c>
      <c r="D130" s="6" t="s">
        <v>93</v>
      </c>
      <c r="E130" s="6" t="s">
        <v>208</v>
      </c>
      <c r="F130" s="6" t="s">
        <v>21</v>
      </c>
      <c r="G130" s="6" t="s">
        <v>22</v>
      </c>
      <c r="H130" s="7">
        <v>1</v>
      </c>
      <c r="I130" s="7">
        <v>0.19</v>
      </c>
    </row>
    <row r="131" spans="1:9" x14ac:dyDescent="0.25">
      <c r="A131" s="6" t="s">
        <v>9</v>
      </c>
      <c r="B131" s="6" t="s">
        <v>10</v>
      </c>
      <c r="C131" s="6" t="s">
        <v>151</v>
      </c>
      <c r="D131" s="6" t="s">
        <v>25</v>
      </c>
      <c r="E131" s="6" t="s">
        <v>209</v>
      </c>
      <c r="F131" s="6" t="s">
        <v>19</v>
      </c>
      <c r="G131" s="6" t="s">
        <v>178</v>
      </c>
      <c r="H131" s="7">
        <v>20</v>
      </c>
      <c r="I131" s="7">
        <v>10</v>
      </c>
    </row>
    <row r="132" spans="1:9" x14ac:dyDescent="0.25">
      <c r="A132" s="6" t="s">
        <v>9</v>
      </c>
      <c r="B132" s="6" t="s">
        <v>10</v>
      </c>
      <c r="C132" s="6" t="s">
        <v>154</v>
      </c>
      <c r="D132" s="6" t="s">
        <v>155</v>
      </c>
      <c r="E132" s="6" t="s">
        <v>210</v>
      </c>
      <c r="F132" s="6" t="s">
        <v>21</v>
      </c>
      <c r="G132" s="6" t="s">
        <v>178</v>
      </c>
      <c r="H132" s="7">
        <v>2</v>
      </c>
      <c r="I132" s="7">
        <v>1</v>
      </c>
    </row>
    <row r="133" spans="1:9" x14ac:dyDescent="0.25">
      <c r="A133" s="6" t="s">
        <v>9</v>
      </c>
      <c r="B133" s="6" t="s">
        <v>10</v>
      </c>
      <c r="C133" s="6" t="s">
        <v>159</v>
      </c>
      <c r="D133" s="6" t="s">
        <v>25</v>
      </c>
      <c r="E133" s="6" t="s">
        <v>211</v>
      </c>
      <c r="F133" s="6" t="s">
        <v>30</v>
      </c>
      <c r="G133" s="6" t="s">
        <v>22</v>
      </c>
      <c r="H133" s="7">
        <v>1</v>
      </c>
      <c r="I133" s="7">
        <v>0.11</v>
      </c>
    </row>
    <row r="134" spans="1:9" x14ac:dyDescent="0.25">
      <c r="A134" s="6" t="s">
        <v>9</v>
      </c>
      <c r="B134" s="6" t="s">
        <v>10</v>
      </c>
      <c r="C134" s="6" t="s">
        <v>159</v>
      </c>
      <c r="D134" s="6" t="s">
        <v>25</v>
      </c>
      <c r="E134" s="6" t="s">
        <v>211</v>
      </c>
      <c r="F134" s="6" t="s">
        <v>30</v>
      </c>
      <c r="G134" s="6" t="s">
        <v>178</v>
      </c>
      <c r="H134" s="7">
        <v>87</v>
      </c>
      <c r="I134" s="7">
        <v>43.5</v>
      </c>
    </row>
    <row r="135" spans="1:9" x14ac:dyDescent="0.25">
      <c r="A135" s="6" t="s">
        <v>9</v>
      </c>
      <c r="B135" s="6" t="s">
        <v>10</v>
      </c>
      <c r="C135" s="6" t="s">
        <v>159</v>
      </c>
      <c r="D135" s="6" t="s">
        <v>165</v>
      </c>
      <c r="E135" s="6" t="s">
        <v>212</v>
      </c>
      <c r="F135" s="6" t="s">
        <v>19</v>
      </c>
      <c r="G135" s="6" t="s">
        <v>22</v>
      </c>
      <c r="H135" s="7">
        <v>2</v>
      </c>
      <c r="I135" s="7">
        <v>0.31</v>
      </c>
    </row>
    <row r="136" spans="1:9" x14ac:dyDescent="0.25">
      <c r="A136" s="6" t="s">
        <v>9</v>
      </c>
      <c r="B136" s="6" t="s">
        <v>10</v>
      </c>
      <c r="C136" s="6" t="s">
        <v>159</v>
      </c>
      <c r="D136" s="6" t="s">
        <v>165</v>
      </c>
      <c r="E136" s="6" t="s">
        <v>212</v>
      </c>
      <c r="F136" s="6" t="s">
        <v>19</v>
      </c>
      <c r="G136" s="6" t="s">
        <v>178</v>
      </c>
      <c r="H136" s="7">
        <v>9</v>
      </c>
      <c r="I136" s="7">
        <v>4.5</v>
      </c>
    </row>
    <row r="137" spans="1:9" x14ac:dyDescent="0.25">
      <c r="A137" s="6" t="s">
        <v>9</v>
      </c>
      <c r="B137" s="6" t="s">
        <v>10</v>
      </c>
      <c r="C137" s="6" t="s">
        <v>159</v>
      </c>
      <c r="D137" s="6" t="s">
        <v>46</v>
      </c>
      <c r="E137" s="6" t="s">
        <v>213</v>
      </c>
      <c r="F137" s="6" t="s">
        <v>21</v>
      </c>
      <c r="G137" s="6" t="s">
        <v>178</v>
      </c>
      <c r="H137" s="7">
        <v>93</v>
      </c>
      <c r="I137" s="7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Bangho</dc:creator>
  <cp:lastModifiedBy>Bangho</cp:lastModifiedBy>
  <dcterms:created xsi:type="dcterms:W3CDTF">2025-09-02T19:03:09Z</dcterms:created>
  <dcterms:modified xsi:type="dcterms:W3CDTF">2025-09-02T19:03:44Z</dcterms:modified>
</cp:coreProperties>
</file>